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1872A070-9EC1-B248-9986-9F8852CCC71C}" xr6:coauthVersionLast="47" xr6:coauthVersionMax="47" xr10:uidLastSave="{00000000-0000-0000-0000-000000000000}"/>
  <bookViews>
    <workbookView xWindow="2000" yWindow="1420" windowWidth="27640" windowHeight="16940" xr2:uid="{55C7882C-EF86-2341-98E2-767BC770FFD0}"/>
  </bookViews>
  <sheets>
    <sheet name="INPUT" sheetId="1" r:id="rId1"/>
    <sheet name="OUTPUT" sheetId="7" r:id="rId2"/>
    <sheet name="ENTRY NO. MAP" sheetId="8" r:id="rId3"/>
    <sheet name="PROCESS" sheetId="3" r:id="rId4"/>
    <sheet name="T2C" sheetId="5" r:id="rId5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7" l="1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V2" i="7"/>
  <c r="U2" i="7"/>
  <c r="T2" i="7"/>
  <c r="S2" i="7"/>
  <c r="K2" i="7"/>
  <c r="L2" i="7"/>
  <c r="M2" i="7"/>
  <c r="N2" i="7"/>
  <c r="O2" i="7"/>
  <c r="P2" i="7"/>
  <c r="Q2" i="7"/>
  <c r="R2" i="7"/>
  <c r="J2" i="7"/>
  <c r="D2" i="7"/>
  <c r="E2" i="7"/>
  <c r="F2" i="7"/>
  <c r="G2" i="7"/>
  <c r="H2" i="7"/>
  <c r="I2" i="7"/>
  <c r="C2" i="7"/>
  <c r="B2" i="7"/>
  <c r="A2" i="7"/>
</calcChain>
</file>

<file path=xl/sharedStrings.xml><?xml version="1.0" encoding="utf-8"?>
<sst xmlns="http://schemas.openxmlformats.org/spreadsheetml/2006/main" count="119" uniqueCount="80">
  <si>
    <t>Entry No.</t>
  </si>
  <si>
    <t>Paste input data into cell A1</t>
  </si>
  <si>
    <t>Ensure commas (,) are replaced with full stops (.) before using this tool</t>
  </si>
  <si>
    <t>Ensure macros are enabled</t>
  </si>
  <si>
    <t>ORIGINAL</t>
  </si>
  <si>
    <t>NEW</t>
  </si>
  <si>
    <t>Item No.</t>
  </si>
  <si>
    <t>Posting Date</t>
  </si>
  <si>
    <t>Entry Type</t>
  </si>
  <si>
    <t>Source No.</t>
  </si>
  <si>
    <t>Document No.</t>
  </si>
  <si>
    <t>Description</t>
  </si>
  <si>
    <t>Location Code</t>
  </si>
  <si>
    <t>Quantity</t>
  </si>
  <si>
    <t>Remaining Quantity</t>
  </si>
  <si>
    <t>Invoiced Quantity</t>
  </si>
  <si>
    <t>Applies-to Entry</t>
  </si>
  <si>
    <t>Open</t>
  </si>
  <si>
    <t>Global Dimension 1 Code</t>
  </si>
  <si>
    <t>Global Dimension 2 Code</t>
  </si>
  <si>
    <t>Positive</t>
  </si>
  <si>
    <t>Source Type</t>
  </si>
  <si>
    <t>Drop Shipment</t>
  </si>
  <si>
    <t>Transaction Nature Code</t>
  </si>
  <si>
    <t>Transport Method</t>
  </si>
  <si>
    <t>Country/Region Code</t>
  </si>
  <si>
    <t>Entry/Exit Point</t>
  </si>
  <si>
    <t>Document Date</t>
  </si>
  <si>
    <t>External Document No.</t>
  </si>
  <si>
    <t>Area</t>
  </si>
  <si>
    <t>Transaction Specification</t>
  </si>
  <si>
    <t>No. Series</t>
  </si>
  <si>
    <t>Reserved Quantity</t>
  </si>
  <si>
    <t>Document Type</t>
  </si>
  <si>
    <t>Document Line No.</t>
  </si>
  <si>
    <t>Job No.</t>
  </si>
  <si>
    <t>Job Task No.</t>
  </si>
  <si>
    <t>Job Purchase</t>
  </si>
  <si>
    <t>Prod. Order No.</t>
  </si>
  <si>
    <t>Variant Code</t>
  </si>
  <si>
    <t>Qty. per Unit of Measure</t>
  </si>
  <si>
    <t>Unit of Measure Code</t>
  </si>
  <si>
    <t>Derived from Blanket Order</t>
  </si>
  <si>
    <t>Cross-Reference No.</t>
  </si>
  <si>
    <t>Originally Ordered No.</t>
  </si>
  <si>
    <t>Originally Ordered Var. Code</t>
  </si>
  <si>
    <t>Out-of-Stock Substitution</t>
  </si>
  <si>
    <t>Item Category Code</t>
  </si>
  <si>
    <t>Nonstock</t>
  </si>
  <si>
    <t>Purchasing Code</t>
  </si>
  <si>
    <t>Product Group Code</t>
  </si>
  <si>
    <t>Transfer Order No.</t>
  </si>
  <si>
    <t>Completely Invoiced</t>
  </si>
  <si>
    <t>Last Invoice Date</t>
  </si>
  <si>
    <t>Applied Entry to Adjust</t>
  </si>
  <si>
    <t>Cost Amount (Expected)</t>
  </si>
  <si>
    <t>Cost Amount (Actual)</t>
  </si>
  <si>
    <t>Cost Amount (Non-Invtbl.)</t>
  </si>
  <si>
    <t>Cost Amount (Expected) (ACY)</t>
  </si>
  <si>
    <t>Cost Amount (Actual) (ACY)</t>
  </si>
  <si>
    <t>Cost Amount (Non-Invtbl.)(ACY)</t>
  </si>
  <si>
    <t>Purchase Amount (Expected)</t>
  </si>
  <si>
    <t>Purchase Amount (Actual)</t>
  </si>
  <si>
    <t>Sales Amount (Expected)</t>
  </si>
  <si>
    <t>Sales Amount (Actual)</t>
  </si>
  <si>
    <t>Correction</t>
  </si>
  <si>
    <t>Shipped Qty. Not Returned</t>
  </si>
  <si>
    <t>Prod. Order Line No.</t>
  </si>
  <si>
    <t>Prod. Order Comp. Line No.</t>
  </si>
  <si>
    <t>Service Order No.</t>
  </si>
  <si>
    <t>Serial No.</t>
  </si>
  <si>
    <t>Lot No.</t>
  </si>
  <si>
    <t>Warranty Date</t>
  </si>
  <si>
    <t>Expiration Date</t>
  </si>
  <si>
    <t>Item Tracking</t>
  </si>
  <si>
    <t>Return Reason Code</t>
  </si>
  <si>
    <t>Job Inventory</t>
  </si>
  <si>
    <t>Job Activity No.</t>
  </si>
  <si>
    <t>Job Change Order No.</t>
  </si>
  <si>
    <t>Currency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</si>
</sst>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2" fillId="0" borderId="0" xfId="0" applyFont="1" applyAlignment="1">
      <alignment vertical="center"/>
    </xf>
    <xf numFmtId="14" fontId="0" fillId="0" borderId="0" xfId="0" applyNumberFormat="1"/>
    <xf numFmtId="0" fontId="0" fillId="3" borderId="0" xfId="0" applyFill="1" applyProtection="1">
      <protection locked="0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1">
    <cellStyle name="Normal" xfId="0" builtinId="0"/>
  </cellStyles>
  <dxfs count="10"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2DCAEF-E189-8D4B-B469-4551AA1DE3FA}" name="output" displayName="output" ref="A1:AN2" totalsRowShown="0" headerRowDxfId="9" headerRowBorderDxfId="8" tableBorderDxfId="7">
  <autoFilter ref="A1:AN2" xr:uid="{4E2DCAEF-E189-8D4B-B469-4551AA1DE3FA}"/>
  <tableColumns count="40">
    <tableColumn id="1" xr3:uid="{EE29735B-B463-F44B-BC62-689659962D0C}" name="Entry No.">
      <calculatedColumnFormula>process[[#This Row],[Entry No.]]</calculatedColumnFormula>
    </tableColumn>
    <tableColumn id="2" xr3:uid="{DA6D2A6B-A2C6-EB48-8664-468FA7F57F14}" name="Item No.">
      <calculatedColumnFormula>process[[#This Row],[Item No.]]</calculatedColumnFormula>
    </tableColumn>
    <tableColumn id="3" xr3:uid="{62C2E74F-1B75-474A-8458-94A07210F0F5}" name="Posting Date" dataDxfId="6">
      <calculatedColumnFormula>process[[#This Row],[Posting Date]]</calculatedColumnFormula>
    </tableColumn>
    <tableColumn id="4" xr3:uid="{9836619F-0E94-D748-B134-D70561D5C698}" name="Entry Type">
      <calculatedColumnFormula>process[[#This Row],[Entry Type]]</calculatedColumnFormula>
    </tableColumn>
    <tableColumn id="5" xr3:uid="{09F462E6-3A4E-C04E-AA4C-45CE8AE649D9}" name="Source No.">
      <calculatedColumnFormula>process[[#This Row],[Source No.]]</calculatedColumnFormula>
    </tableColumn>
    <tableColumn id="6" xr3:uid="{A67F9800-5440-CA48-BCEF-899EA668AA8A}" name="Document No.">
      <calculatedColumnFormula>process[[#This Row],[Document No.]]</calculatedColumnFormula>
    </tableColumn>
    <tableColumn id="7" xr3:uid="{C61219DA-1E23-1646-A149-243079DDD167}" name="Description">
      <calculatedColumnFormula>process[[#This Row],[Description]]</calculatedColumnFormula>
    </tableColumn>
    <tableColumn id="8" xr3:uid="{0F31BA1E-6C2F-D844-8FB0-117D4DB691AE}" name="Location Code">
      <calculatedColumnFormula>process[[#This Row],[Location Code]]</calculatedColumnFormula>
    </tableColumn>
    <tableColumn id="9" xr3:uid="{A0DC46D3-A6EC-EC48-B8B8-FB0892942C3E}" name="Quantity">
      <calculatedColumnFormula>process[[#This Row],[Quantity]]</calculatedColumnFormula>
    </tableColumn>
    <tableColumn id="10" xr3:uid="{AE4DFC9F-ADB8-334A-8696-F23CC540FCB1}" name="Remaining Quantity">
      <calculatedColumnFormula>process[[#This Row],[Remaining Quantity]]</calculatedColumnFormula>
    </tableColumn>
    <tableColumn id="11" xr3:uid="{C4E691AC-80F7-574D-AD54-BC086E1F87CC}" name="Invoiced Quantity">
      <calculatedColumnFormula>process[[#This Row],[Invoiced Quantity]]</calculatedColumnFormula>
    </tableColumn>
    <tableColumn id="12" xr3:uid="{562A62C3-87F2-9143-B122-557495DF565F}" name="Applies-to Entry">
      <calculatedColumnFormula>process[[#This Row],[Applies-to Entry]]</calculatedColumnFormula>
    </tableColumn>
    <tableColumn id="13" xr3:uid="{657C9A1C-EE73-CC48-8D33-6D660B56E154}" name="Open">
      <calculatedColumnFormula>process[[#This Row],[Open]]</calculatedColumnFormula>
    </tableColumn>
    <tableColumn id="14" xr3:uid="{0AB24470-4B42-B247-B0AB-BA02B9316F0B}" name="Global Dimension 1 Code">
      <calculatedColumnFormula>process[[#This Row],[Global Dimension 1 Code]]</calculatedColumnFormula>
    </tableColumn>
    <tableColumn id="15" xr3:uid="{2A4AF439-EB09-AF4C-A747-D7825DB11976}" name="Global Dimension 2 Code">
      <calculatedColumnFormula>process[[#This Row],[Global Dimension 2 Code]]</calculatedColumnFormula>
    </tableColumn>
    <tableColumn id="16" xr3:uid="{70196C26-F6AF-DE4C-84E0-E5F8AF41A643}" name="Positive">
      <calculatedColumnFormula>process[[#This Row],[Positive]]</calculatedColumnFormula>
    </tableColumn>
    <tableColumn id="17" xr3:uid="{E42E4A7E-D670-1D46-84F3-AE05BBCDE0EA}" name="Source Type">
      <calculatedColumnFormula>process[[#This Row],[Source Type]]</calculatedColumnFormula>
    </tableColumn>
    <tableColumn id="18" xr3:uid="{032B9997-A1C1-384C-814F-DD197FE991AE}" name="Drop Shipment">
      <calculatedColumnFormula>process[[#This Row],[Drop Shipment]]</calculatedColumnFormula>
    </tableColumn>
    <tableColumn id="19" xr3:uid="{B7C40D2B-BE1B-3C4D-9E11-E303F7B6B839}" name="Country/Region Code">
      <calculatedColumnFormula>process[[#This Row],[Country/Region Code]]</calculatedColumnFormula>
    </tableColumn>
    <tableColumn id="20" xr3:uid="{0A09F24D-933D-FE40-97A4-5A893AFC653B}" name="Document Date" dataDxfId="5">
      <calculatedColumnFormula>process[[#This Row],[Document Date]]</calculatedColumnFormula>
    </tableColumn>
    <tableColumn id="21" xr3:uid="{360D7F6E-ED17-C64E-B9F7-157A8B24731A}" name="Area">
      <calculatedColumnFormula>process[[#This Row],[Area]]</calculatedColumnFormula>
    </tableColumn>
    <tableColumn id="22" xr3:uid="{F5ACB446-FB00-3446-AB90-832F7C81B3CB}" name="No. Series">
      <calculatedColumnFormula>process[[#This Row],[No. Series]]</calculatedColumnFormula>
    </tableColumn>
    <tableColumn id="23" xr3:uid="{2268921F-8819-D04B-B5C3-A5EC3AF2AC57}" name="Document Type">
      <calculatedColumnFormula>process[[#This Row],[Document Type]]</calculatedColumnFormula>
    </tableColumn>
    <tableColumn id="24" xr3:uid="{790AB7B5-91BA-0F47-8E39-EF8ED3235C88}" name="Document Line No.">
      <calculatedColumnFormula>process[[#This Row],[Document Line No.]]</calculatedColumnFormula>
    </tableColumn>
    <tableColumn id="25" xr3:uid="{1B1B5745-AE68-C746-81B0-E9366CA573DA}" name="Job Purchase">
      <calculatedColumnFormula>process[[#This Row],[Job Purchase]]</calculatedColumnFormula>
    </tableColumn>
    <tableColumn id="26" xr3:uid="{D95410F2-6A5B-6046-B3B1-9673E7A8D10C}" name="Qty. per Unit of Measure">
      <calculatedColumnFormula>process[[#This Row],[Qty. per Unit of Measure]]</calculatedColumnFormula>
    </tableColumn>
    <tableColumn id="27" xr3:uid="{3D213EA0-BA65-B444-A328-390556424511}" name="Unit of Measure Code">
      <calculatedColumnFormula>process[[#This Row],[Unit of Measure Code]]</calculatedColumnFormula>
    </tableColumn>
    <tableColumn id="28" xr3:uid="{8029E211-88BA-1E48-ADC1-5B568DA1A0BD}" name="Derived from Blanket Order">
      <calculatedColumnFormula>process[[#This Row],[Derived from Blanket Order]]</calculatedColumnFormula>
    </tableColumn>
    <tableColumn id="29" xr3:uid="{E999B088-F293-8D43-918A-4601C01FD14D}" name="Out-of-Stock Substitution">
      <calculatedColumnFormula>process[[#This Row],[Out-of-Stock Substitution]]</calculatedColumnFormula>
    </tableColumn>
    <tableColumn id="30" xr3:uid="{C8C366D4-6335-414A-8C20-50F21F3A2725}" name="Item Category Code" dataDxfId="4">
      <calculatedColumnFormula>process[[#This Row],[Item Category Code]]</calculatedColumnFormula>
    </tableColumn>
    <tableColumn id="31" xr3:uid="{94A7F220-1BBF-7E40-A3E8-B769F594C8C2}" name="Nonstock">
      <calculatedColumnFormula>process[[#This Row],[Nonstock]]</calculatedColumnFormula>
    </tableColumn>
    <tableColumn id="32" xr3:uid="{A1C385DF-33DF-8947-93AB-47B48E2EB00F}" name="Product Group Code">
      <calculatedColumnFormula>process[[#This Row],[Product Group Code]]</calculatedColumnFormula>
    </tableColumn>
    <tableColumn id="33" xr3:uid="{294D810B-DADA-D243-A730-E70118E107E2}" name="Completely Invoiced">
      <calculatedColumnFormula>process[[#This Row],[Completely Invoiced]]</calculatedColumnFormula>
    </tableColumn>
    <tableColumn id="34" xr3:uid="{A6C28109-8948-D849-B7DA-B4653832EBBB}" name="Last Invoice Date" dataDxfId="3">
      <calculatedColumnFormula>process[[#This Row],[Last Invoice Date]]</calculatedColumnFormula>
    </tableColumn>
    <tableColumn id="35" xr3:uid="{643ACF22-ACFD-0A4E-A579-4FA231FDEDE4}" name="Applied Entry to Adjust">
      <calculatedColumnFormula>process[[#This Row],[Applied Entry to Adjust]]</calculatedColumnFormula>
    </tableColumn>
    <tableColumn id="36" xr3:uid="{0686257A-7C89-F94C-BE4D-D937B6CBF69C}" name="Correction">
      <calculatedColumnFormula>process[[#This Row],[Correction]]</calculatedColumnFormula>
    </tableColumn>
    <tableColumn id="37" xr3:uid="{67345129-3EB5-574B-9D9A-66CF99B3F2E9}" name="Shipped Qty. Not Returned">
      <calculatedColumnFormula>process[[#This Row],[Shipped Qty. Not Returned]]</calculatedColumnFormula>
    </tableColumn>
    <tableColumn id="38" xr3:uid="{2D1E8EB1-7E92-F843-AA87-7E9401EA0ADF}" name="Prod. Order Comp. Line No.">
      <calculatedColumnFormula>process[[#This Row],[Prod. Order Comp. Line No.]]</calculatedColumnFormula>
    </tableColumn>
    <tableColumn id="39" xr3:uid="{1A87BEE2-1016-0A42-8A38-6ADDC57DA73B}" name="Item Tracking">
      <calculatedColumnFormula>process[[#This Row],[Item Tracking]]</calculatedColumnFormula>
    </tableColumn>
    <tableColumn id="40" xr3:uid="{01E8BCD3-8257-7C46-99DC-361A2CCA093D}" name="Currency Co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47A51B-E48C-CC40-A826-3E11BB0AE18D}" name="process" displayName="process" ref="A1:BV2" totalsRowShown="0">
  <autoFilter ref="A1:BV2" xr:uid="{3C47A51B-E48C-CC40-A826-3E11BB0AE18D}"/>
  <tableColumns count="74">
    <tableColumn id="1" xr3:uid="{F28B7586-A04E-534A-A49F-AF308C425E6B}" name="Entry No."/>
    <tableColumn id="2" xr3:uid="{D3A393E9-B622-814A-A45C-D8C9A8590849}" name="Item No."/>
    <tableColumn id="3" xr3:uid="{70E7E57A-2AC2-FD4D-8183-08DDCAC5747C}" name="Posting Date" dataDxfId="2"/>
    <tableColumn id="4" xr3:uid="{79AA8849-77CB-9345-81F9-2E5A98A28257}" name="Entry Type"/>
    <tableColumn id="5" xr3:uid="{3B0BEFBD-E6A1-3E49-9521-99FE64E4BB1D}" name="Source No."/>
    <tableColumn id="6" xr3:uid="{CC933C1C-5BBE-384B-BC5D-0D1C011DFA6C}" name="Document No."/>
    <tableColumn id="7" xr3:uid="{6038C643-D89C-3F47-BD8E-CF37FB931080}" name="Description"/>
    <tableColumn id="8" xr3:uid="{BE94FB04-F336-CC46-8103-CBC1F5563271}" name="Location Code"/>
    <tableColumn id="9" xr3:uid="{7C6A155C-E164-F042-A173-91C08A40C4F7}" name="Quantity"/>
    <tableColumn id="10" xr3:uid="{AD5D9037-7C0B-E84A-ABC0-20B2F62C8392}" name="Remaining Quantity"/>
    <tableColumn id="11" xr3:uid="{38A88E70-CF02-2148-9A42-34E2378A3D7A}" name="Invoiced Quantity"/>
    <tableColumn id="12" xr3:uid="{3AA2226A-621D-FA43-9C16-595B16D060B3}" name="Applies-to Entry"/>
    <tableColumn id="13" xr3:uid="{0DA9AAAD-1707-6A42-9C31-085DE3F881B9}" name="Open"/>
    <tableColumn id="14" xr3:uid="{0CF0505F-5BF2-8F47-87B1-DB6A6891B9AD}" name="Global Dimension 1 Code"/>
    <tableColumn id="15" xr3:uid="{9413667F-453A-DC40-9B2A-84BD2A15018B}" name="Global Dimension 2 Code"/>
    <tableColumn id="16" xr3:uid="{A021FC1F-6505-AB4E-9143-9D36A9731FDC}" name="Positive"/>
    <tableColumn id="17" xr3:uid="{07F733FF-5E24-EF48-8322-7BA4E0A6AFD0}" name="Source Type"/>
    <tableColumn id="18" xr3:uid="{37153186-79B5-EB44-99A1-D86C59EF8708}" name="Drop Shipment"/>
    <tableColumn id="19" xr3:uid="{FD8DF66C-C095-D443-8A76-BC9D52199562}" name="Transaction Nature Code"/>
    <tableColumn id="20" xr3:uid="{EB4AB444-BA9B-754F-A164-4ECF0DAA77B1}" name="Transport Method"/>
    <tableColumn id="21" xr3:uid="{741C392D-DDE9-F948-A1E3-13F63A6FEA4D}" name="Country/Region Code"/>
    <tableColumn id="22" xr3:uid="{5D9CF25E-67DD-7B4C-9A34-9866C805728F}" name="Entry/Exit Point"/>
    <tableColumn id="23" xr3:uid="{7CE7478B-B4CC-974E-9C48-264FFFB8CE72}" name="Document Date"/>
    <tableColumn id="24" xr3:uid="{D643C189-4A8F-1448-904E-904C918A1B1D}" name="External Document No."/>
    <tableColumn id="25" xr3:uid="{92D20A4A-929B-954C-94B2-5E0754462689}" name="Area"/>
    <tableColumn id="26" xr3:uid="{20DDB542-F1BA-954E-834F-6ED8F4E177C8}" name="Transaction Specification"/>
    <tableColumn id="27" xr3:uid="{5C69726C-70B7-214D-AB9C-67FC85296686}" name="No. Series"/>
    <tableColumn id="28" xr3:uid="{EA21939D-F3BF-514D-AA8C-33344840DD1B}" name="Reserved Quantity"/>
    <tableColumn id="29" xr3:uid="{51196011-187A-8B46-88D2-AE3DF714933F}" name="Document Type"/>
    <tableColumn id="30" xr3:uid="{64F5C7DB-028C-DB4A-AFA5-88D95018EA5D}" name="Document Line No."/>
    <tableColumn id="31" xr3:uid="{86462854-6715-1B43-85E8-52822C2D15A5}" name="Job No."/>
    <tableColumn id="32" xr3:uid="{6663FAB2-D73D-6547-ABB4-EE04C8611A2F}" name="Job Task No." dataDxfId="1"/>
    <tableColumn id="33" xr3:uid="{F5C8D05D-0F4F-7D4C-A77A-5FFC5F8B5A63}" name="Job Purchase"/>
    <tableColumn id="34" xr3:uid="{B490C008-C40A-6E48-A7CD-2CE8DA77A2AC}" name="Prod. Order No."/>
    <tableColumn id="35" xr3:uid="{512F29CA-D93E-B149-AE2B-6AE708D05193}" name="Variant Code"/>
    <tableColumn id="36" xr3:uid="{6789B78E-3024-BE48-9859-9489AA903EA1}" name="Qty. per Unit of Measure"/>
    <tableColumn id="37" xr3:uid="{695E86D0-7CED-CC4C-9964-049C058DC657}" name="Unit of Measure Code"/>
    <tableColumn id="38" xr3:uid="{FFA5D733-DE35-7E46-82AE-B0B0AEFA087A}" name="Derived from Blanket Order"/>
    <tableColumn id="39" xr3:uid="{222B71B3-ECF1-364F-9825-31EDDDF06A67}" name="Cross-Reference No."/>
    <tableColumn id="40" xr3:uid="{F2685B6A-226E-9B40-B199-D489B3118531}" name="Originally Ordered No."/>
    <tableColumn id="41" xr3:uid="{99072310-923B-794E-A9F4-01153354F081}" name="Originally Ordered Var. Code"/>
    <tableColumn id="42" xr3:uid="{12D71157-F827-774D-A7CF-FA390F5C3C13}" name="Out-of-Stock Substitution"/>
    <tableColumn id="43" xr3:uid="{6F2EFCA8-22AC-294D-B593-71E19143BD28}" name="Item Category Code"/>
    <tableColumn id="44" xr3:uid="{A9D342EF-FF7D-E746-8C33-55251AAEE312}" name="Nonstock"/>
    <tableColumn id="45" xr3:uid="{E3631ECF-5178-764A-8306-DDE15B73B485}" name="Purchasing Code"/>
    <tableColumn id="46" xr3:uid="{9FD81571-0F7A-F342-80F7-C45038D5C1D4}" name="Product Group Code"/>
    <tableColumn id="47" xr3:uid="{DB416D27-1D20-2C41-964C-AAFA4525E316}" name="Transfer Order No."/>
    <tableColumn id="48" xr3:uid="{7B3D9323-B39E-D447-961C-22DAE89556C0}" name="Completely Invoiced"/>
    <tableColumn id="49" xr3:uid="{D7CB75E3-3636-FD4F-AE91-00C5FB2169C8}" name="Last Invoice Date"/>
    <tableColumn id="50" xr3:uid="{4174C62C-0211-104C-849D-54CCF0A92CE9}" name="Applied Entry to Adjust"/>
    <tableColumn id="51" xr3:uid="{799CD3FD-69DD-BD4C-BCC5-D9DFC4425C6E}" name="Cost Amount (Expected)"/>
    <tableColumn id="52" xr3:uid="{502CEA51-99DE-6149-BD6C-E9EE383AA12A}" name="Cost Amount (Actual)"/>
    <tableColumn id="53" xr3:uid="{C9EF2284-33AD-FD47-ABD4-9C0373ACE7D4}" name="Cost Amount (Non-Invtbl.)"/>
    <tableColumn id="54" xr3:uid="{83333DF6-D260-024D-A5FF-56E391FAD370}" name="Cost Amount (Expected) (ACY)"/>
    <tableColumn id="55" xr3:uid="{C4ABB9E6-14D9-4A42-B311-2BB97D1F6DD5}" name="Cost Amount (Actual) (ACY)"/>
    <tableColumn id="56" xr3:uid="{A6490093-8A45-F84A-86E1-51EA9FC6A8E7}" name="Cost Amount (Non-Invtbl.)(ACY)"/>
    <tableColumn id="57" xr3:uid="{90390A30-D76F-E44E-AC93-057BF0DC014A}" name="Purchase Amount (Expected)"/>
    <tableColumn id="58" xr3:uid="{DCC73505-993F-2A4E-B4EB-84050CA8F0F1}" name="Purchase Amount (Actual)"/>
    <tableColumn id="59" xr3:uid="{8A949596-840E-7B42-A531-EA5D43279816}" name="Sales Amount (Expected)"/>
    <tableColumn id="60" xr3:uid="{BF1A84C5-C6D8-6249-BEFC-1D8F57A5121F}" name="Sales Amount (Actual)"/>
    <tableColumn id="61" xr3:uid="{CBC0921F-AF8B-B744-9919-E5475E3CEF11}" name="Correction"/>
    <tableColumn id="62" xr3:uid="{0DA34340-D784-6A46-A1D2-EFDF0AB8F2F2}" name="Shipped Qty. Not Returned"/>
    <tableColumn id="63" xr3:uid="{6965ABE3-296C-804B-B049-BB3758605FE5}" name="Prod. Order Line No."/>
    <tableColumn id="64" xr3:uid="{0DD19966-DF20-844D-8E6E-2C7A5A3C528E}" name="Prod. Order Comp. Line No."/>
    <tableColumn id="65" xr3:uid="{1FE78482-C66F-384D-856A-13BF86454FE8}" name="Service Order No."/>
    <tableColumn id="66" xr3:uid="{5BC6F673-8E38-A943-A1CD-C438CE72963A}" name="Serial No."/>
    <tableColumn id="67" xr3:uid="{DA3974FD-F151-2643-8219-E9EFA1A95AFD}" name="Lot No."/>
    <tableColumn id="68" xr3:uid="{48F7EDAF-1C00-C240-AA84-CF5027CD4F17}" name="Warranty Date"/>
    <tableColumn id="69" xr3:uid="{6501E0FC-19AB-2A4C-BBA5-776A7A331C45}" name="Expiration Date"/>
    <tableColumn id="70" xr3:uid="{048E8C28-F908-224A-A082-C7DFD1A0A7B2}" name="Item Tracking"/>
    <tableColumn id="71" xr3:uid="{2FF93723-DBDA-D844-8887-5E1ABC9778F3}" name="Return Reason Code"/>
    <tableColumn id="72" xr3:uid="{B784BBAD-F91B-E441-8A9B-1970B800C970}" name="Job Inventory"/>
    <tableColumn id="73" xr3:uid="{C4518CA7-3621-E24F-8CC7-2C507732258D}" name="Job Activity No."/>
    <tableColumn id="74" xr3:uid="{2051AFF3-8AEB-7B4A-88CD-04438B8CC291}" name="Job Change Order No.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2"/>
  <sheetViews>
    <sheetView tabSelected="1" workbookViewId="0"/>
  </sheetViews>
  <sheetFormatPr baseColWidth="10" defaultRowHeight="16" x14ac:dyDescent="0.2"/>
  <cols>
    <col min="1" max="1" width="10.83203125" style="5" customWidth="1"/>
    <col min="2" max="2" width="10.83203125" customWidth="1"/>
  </cols>
  <sheetData>
    <row r="6" spans="4:11" ht="16" customHeight="1" x14ac:dyDescent="0.2">
      <c r="E6" s="3"/>
      <c r="F6" s="3"/>
      <c r="G6" s="3"/>
      <c r="H6" s="3"/>
      <c r="I6" s="3"/>
    </row>
    <row r="7" spans="4:11" ht="16" customHeight="1" thickBot="1" x14ac:dyDescent="0.25">
      <c r="D7" s="3"/>
      <c r="E7" s="3"/>
      <c r="F7" s="3"/>
      <c r="G7" s="3"/>
      <c r="H7" s="3"/>
      <c r="I7" s="3"/>
    </row>
    <row r="8" spans="4:11" ht="16" customHeight="1" x14ac:dyDescent="0.2">
      <c r="D8" s="15" t="s">
        <v>1</v>
      </c>
      <c r="E8" s="16"/>
      <c r="F8" s="16"/>
      <c r="G8" s="16"/>
      <c r="H8" s="16"/>
      <c r="I8" s="16"/>
      <c r="J8" s="16"/>
      <c r="K8" s="17"/>
    </row>
    <row r="9" spans="4:11" ht="16" customHeight="1" x14ac:dyDescent="0.2">
      <c r="D9" s="18"/>
      <c r="E9" s="19"/>
      <c r="F9" s="19"/>
      <c r="G9" s="19"/>
      <c r="H9" s="19"/>
      <c r="I9" s="19"/>
      <c r="J9" s="19"/>
      <c r="K9" s="20"/>
    </row>
    <row r="10" spans="4:11" ht="17" customHeight="1" x14ac:dyDescent="0.2">
      <c r="D10" s="18"/>
      <c r="E10" s="19"/>
      <c r="F10" s="19"/>
      <c r="G10" s="19"/>
      <c r="H10" s="19"/>
      <c r="I10" s="19"/>
      <c r="J10" s="19"/>
      <c r="K10" s="20"/>
    </row>
    <row r="11" spans="4:11" ht="16" customHeight="1" thickBot="1" x14ac:dyDescent="0.25">
      <c r="D11" s="21"/>
      <c r="E11" s="22"/>
      <c r="F11" s="22"/>
      <c r="G11" s="22"/>
      <c r="H11" s="22"/>
      <c r="I11" s="22"/>
      <c r="J11" s="22"/>
      <c r="K11" s="23"/>
    </row>
    <row r="12" spans="4:11" ht="16" customHeight="1" thickBot="1" x14ac:dyDescent="0.25">
      <c r="D12" s="3"/>
      <c r="E12" s="3"/>
      <c r="F12" s="3"/>
      <c r="G12" s="3"/>
      <c r="H12" s="3"/>
      <c r="I12" s="3"/>
    </row>
    <row r="13" spans="4:11" ht="16" customHeight="1" x14ac:dyDescent="0.2">
      <c r="D13" s="6" t="s">
        <v>2</v>
      </c>
      <c r="E13" s="7"/>
      <c r="F13" s="7"/>
      <c r="G13" s="7"/>
      <c r="H13" s="7"/>
      <c r="I13" s="7"/>
      <c r="J13" s="7"/>
      <c r="K13" s="8"/>
    </row>
    <row r="14" spans="4:11" ht="16" customHeight="1" x14ac:dyDescent="0.2">
      <c r="D14" s="9"/>
      <c r="E14" s="10"/>
      <c r="F14" s="10"/>
      <c r="G14" s="10"/>
      <c r="H14" s="10"/>
      <c r="I14" s="10"/>
      <c r="J14" s="10"/>
      <c r="K14" s="11"/>
    </row>
    <row r="15" spans="4:11" ht="16" customHeight="1" x14ac:dyDescent="0.2">
      <c r="D15" s="9"/>
      <c r="E15" s="10"/>
      <c r="F15" s="10"/>
      <c r="G15" s="10"/>
      <c r="H15" s="10"/>
      <c r="I15" s="10"/>
      <c r="J15" s="10"/>
      <c r="K15" s="11"/>
    </row>
    <row r="16" spans="4:11" ht="16" customHeight="1" thickBot="1" x14ac:dyDescent="0.25">
      <c r="D16" s="12"/>
      <c r="E16" s="13"/>
      <c r="F16" s="13"/>
      <c r="G16" s="13"/>
      <c r="H16" s="13"/>
      <c r="I16" s="13"/>
      <c r="J16" s="13"/>
      <c r="K16" s="14"/>
    </row>
    <row r="17" spans="4:11" ht="16" customHeight="1" thickBot="1" x14ac:dyDescent="0.25">
      <c r="D17" s="3"/>
      <c r="E17" s="3"/>
      <c r="F17" s="3"/>
      <c r="G17" s="3"/>
      <c r="H17" s="3"/>
      <c r="I17" s="3"/>
    </row>
    <row r="18" spans="4:11" ht="16" customHeight="1" x14ac:dyDescent="0.2">
      <c r="D18" s="6" t="s">
        <v>3</v>
      </c>
      <c r="E18" s="7"/>
      <c r="F18" s="7"/>
      <c r="G18" s="7"/>
      <c r="H18" s="7"/>
      <c r="I18" s="7"/>
      <c r="J18" s="7"/>
      <c r="K18" s="8"/>
    </row>
    <row r="19" spans="4:11" ht="16" customHeight="1" x14ac:dyDescent="0.2">
      <c r="D19" s="9"/>
      <c r="E19" s="10"/>
      <c r="F19" s="10"/>
      <c r="G19" s="10"/>
      <c r="H19" s="10"/>
      <c r="I19" s="10"/>
      <c r="J19" s="10"/>
      <c r="K19" s="11"/>
    </row>
    <row r="20" spans="4:11" ht="16" customHeight="1" x14ac:dyDescent="0.2">
      <c r="D20" s="9"/>
      <c r="E20" s="10"/>
      <c r="F20" s="10"/>
      <c r="G20" s="10"/>
      <c r="H20" s="10"/>
      <c r="I20" s="10"/>
      <c r="J20" s="10"/>
      <c r="K20" s="11"/>
    </row>
    <row r="21" spans="4:11" ht="16" customHeight="1" thickBot="1" x14ac:dyDescent="0.25">
      <c r="D21" s="12"/>
      <c r="E21" s="13"/>
      <c r="F21" s="13"/>
      <c r="G21" s="13"/>
      <c r="H21" s="13"/>
      <c r="I21" s="13"/>
      <c r="J21" s="13"/>
      <c r="K21" s="14"/>
    </row>
    <row r="22" spans="4:11" ht="16" customHeight="1" x14ac:dyDescent="0.2">
      <c r="D22" s="3"/>
      <c r="E22" s="3"/>
      <c r="F22" s="3"/>
      <c r="G22" s="3"/>
      <c r="H22" s="3"/>
      <c r="I22" s="3"/>
    </row>
  </sheetData>
  <sheetProtection sheet="1" objects="1" scenarios="1"/>
  <mergeCells count="3">
    <mergeCell ref="D13:K16"/>
    <mergeCell ref="D8:K11"/>
    <mergeCell ref="D18:K2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AN2"/>
  <sheetViews>
    <sheetView workbookViewId="0">
      <selection activeCell="A2" sqref="A2"/>
    </sheetView>
  </sheetViews>
  <sheetFormatPr baseColWidth="10" defaultRowHeight="16" x14ac:dyDescent="0.2"/>
  <cols>
    <col min="3" max="3" width="14.5" customWidth="1"/>
    <col min="4" max="4" width="22.1640625" customWidth="1"/>
    <col min="5" max="5" width="12.6640625" customWidth="1"/>
    <col min="6" max="6" width="15.6640625" customWidth="1"/>
    <col min="7" max="7" width="13.5" customWidth="1"/>
    <col min="8" max="8" width="15.6640625" customWidth="1"/>
    <col min="9" max="9" width="23.33203125" customWidth="1"/>
    <col min="10" max="10" width="21.5" customWidth="1"/>
    <col min="11" max="11" width="21.33203125" customWidth="1"/>
    <col min="12" max="12" width="16.83203125" customWidth="1"/>
    <col min="13" max="13" width="25.5" customWidth="1"/>
    <col min="14" max="15" width="24.6640625" bestFit="1" customWidth="1"/>
    <col min="16" max="16" width="22.1640625" customWidth="1"/>
    <col min="17" max="17" width="23.1640625" customWidth="1"/>
    <col min="18" max="18" width="18.1640625" customWidth="1"/>
    <col min="19" max="19" width="21.33203125" bestFit="1" customWidth="1"/>
    <col min="20" max="20" width="16.6640625" bestFit="1" customWidth="1"/>
    <col min="21" max="21" width="16.83203125" customWidth="1"/>
    <col min="22" max="23" width="24.5" customWidth="1"/>
    <col min="24" max="24" width="19.5" bestFit="1" customWidth="1"/>
    <col min="25" max="25" width="21.6640625" customWidth="1"/>
    <col min="26" max="26" width="23.33203125" bestFit="1" customWidth="1"/>
    <col min="27" max="27" width="21.33203125" bestFit="1" customWidth="1"/>
    <col min="28" max="28" width="26.33203125" bestFit="1" customWidth="1"/>
    <col min="29" max="29" width="24.33203125" customWidth="1"/>
    <col min="30" max="30" width="20.1640625" bestFit="1" customWidth="1"/>
    <col min="31" max="31" width="26.83203125" customWidth="1"/>
    <col min="32" max="32" width="24.5" customWidth="1"/>
    <col min="33" max="33" width="19.6640625" customWidth="1"/>
    <col min="34" max="34" width="16.5" customWidth="1"/>
    <col min="35" max="35" width="19.5" customWidth="1"/>
    <col min="36" max="36" width="15.6640625" customWidth="1"/>
    <col min="37" max="37" width="23.1640625" customWidth="1"/>
    <col min="38" max="38" width="26.1640625" bestFit="1" customWidth="1"/>
    <col min="39" max="39" width="14.5" customWidth="1"/>
    <col min="40" max="40" width="16" customWidth="1"/>
  </cols>
  <sheetData>
    <row r="1" spans="1:40" x14ac:dyDescent="0.2">
      <c r="A1" s="1" t="s">
        <v>0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Q1" s="2" t="s">
        <v>21</v>
      </c>
      <c r="R1" s="2" t="s">
        <v>22</v>
      </c>
      <c r="S1" s="2" t="s">
        <v>25</v>
      </c>
      <c r="T1" s="2" t="s">
        <v>27</v>
      </c>
      <c r="U1" s="2" t="s">
        <v>29</v>
      </c>
      <c r="V1" s="2" t="s">
        <v>31</v>
      </c>
      <c r="W1" s="2" t="s">
        <v>33</v>
      </c>
      <c r="X1" s="2" t="s">
        <v>34</v>
      </c>
      <c r="Y1" s="2" t="s">
        <v>37</v>
      </c>
      <c r="Z1" s="2" t="s">
        <v>40</v>
      </c>
      <c r="AA1" s="2" t="s">
        <v>41</v>
      </c>
      <c r="AB1" s="2" t="s">
        <v>42</v>
      </c>
      <c r="AC1" s="2" t="s">
        <v>46</v>
      </c>
      <c r="AD1" s="2" t="s">
        <v>47</v>
      </c>
      <c r="AE1" s="2" t="s">
        <v>48</v>
      </c>
      <c r="AF1" s="2" t="s">
        <v>50</v>
      </c>
      <c r="AG1" s="2" t="s">
        <v>52</v>
      </c>
      <c r="AH1" s="2" t="s">
        <v>53</v>
      </c>
      <c r="AI1" s="2" t="s">
        <v>54</v>
      </c>
      <c r="AJ1" s="2" t="s">
        <v>65</v>
      </c>
      <c r="AK1" s="2" t="s">
        <v>66</v>
      </c>
      <c r="AL1" s="2" t="s">
        <v>68</v>
      </c>
      <c r="AM1" s="2" t="s">
        <v>74</v>
      </c>
      <c r="AN1" s="2" t="s">
        <v>79</v>
      </c>
    </row>
    <row r="2" spans="1:40" x14ac:dyDescent="0.2">
      <c r="A2">
        <f>process[[#This Row],[Entry No.]]</f>
        <v>0</v>
      </c>
      <c r="B2">
        <f>process[[#This Row],[Item No.]]</f>
        <v>0</v>
      </c>
      <c r="C2" s="4">
        <f>process[[#This Row],[Posting Date]]</f>
        <v>0</v>
      </c>
      <c r="D2">
        <f>process[[#This Row],[Entry Type]]</f>
        <v>0</v>
      </c>
      <c r="E2">
        <f>process[[#This Row],[Source No.]]</f>
        <v>0</v>
      </c>
      <c r="F2">
        <f>process[[#This Row],[Document No.]]</f>
        <v>0</v>
      </c>
      <c r="G2">
        <f>process[[#This Row],[Description]]</f>
        <v>0</v>
      </c>
      <c r="H2">
        <f>process[[#This Row],[Location Code]]</f>
        <v>0</v>
      </c>
      <c r="I2">
        <f>process[[#This Row],[Quantity]]</f>
        <v>0</v>
      </c>
      <c r="J2">
        <f>process[[#This Row],[Remaining Quantity]]</f>
        <v>0</v>
      </c>
      <c r="K2">
        <f>process[[#This Row],[Invoiced Quantity]]</f>
        <v>0</v>
      </c>
      <c r="L2">
        <f>process[[#This Row],[Applies-to Entry]]</f>
        <v>0</v>
      </c>
      <c r="M2">
        <f>process[[#This Row],[Open]]</f>
        <v>0</v>
      </c>
      <c r="N2">
        <f>process[[#This Row],[Global Dimension 1 Code]]</f>
        <v>0</v>
      </c>
      <c r="O2">
        <f>process[[#This Row],[Global Dimension 2 Code]]</f>
        <v>0</v>
      </c>
      <c r="P2">
        <f>process[[#This Row],[Positive]]</f>
        <v>0</v>
      </c>
      <c r="Q2">
        <f>process[[#This Row],[Source Type]]</f>
        <v>0</v>
      </c>
      <c r="R2">
        <f>process[[#This Row],[Drop Shipment]]</f>
        <v>0</v>
      </c>
      <c r="S2">
        <f>process[[#This Row],[Country/Region Code]]</f>
        <v>0</v>
      </c>
      <c r="T2" s="4">
        <f>process[[#This Row],[Document Date]]</f>
        <v>0</v>
      </c>
      <c r="U2">
        <f>process[[#This Row],[Area]]</f>
        <v>0</v>
      </c>
      <c r="V2">
        <f>process[[#This Row],[No. Series]]</f>
        <v>0</v>
      </c>
      <c r="W2">
        <f>process[[#This Row],[Document Type]]</f>
        <v>0</v>
      </c>
      <c r="X2">
        <f>process[[#This Row],[Document Line No.]]</f>
        <v>0</v>
      </c>
      <c r="Y2">
        <f>process[[#This Row],[Job Purchase]]</f>
        <v>0</v>
      </c>
      <c r="Z2">
        <f>process[[#This Row],[Qty. per Unit of Measure]]</f>
        <v>0</v>
      </c>
      <c r="AA2">
        <f>process[[#This Row],[Unit of Measure Code]]</f>
        <v>0</v>
      </c>
      <c r="AB2">
        <f>process[[#This Row],[Derived from Blanket Order]]</f>
        <v>0</v>
      </c>
      <c r="AC2">
        <f>process[[#This Row],[Out-of-Stock Substitution]]</f>
        <v>0</v>
      </c>
      <c r="AD2">
        <f>process[[#This Row],[Item Category Code]]</f>
        <v>0</v>
      </c>
      <c r="AE2">
        <f>process[[#This Row],[Nonstock]]</f>
        <v>0</v>
      </c>
      <c r="AF2">
        <f>process[[#This Row],[Product Group Code]]</f>
        <v>0</v>
      </c>
      <c r="AG2">
        <f>process[[#This Row],[Completely Invoiced]]</f>
        <v>0</v>
      </c>
      <c r="AH2" s="4">
        <f>process[[#This Row],[Last Invoice Date]]</f>
        <v>0</v>
      </c>
      <c r="AI2">
        <f>process[[#This Row],[Applied Entry to Adjust]]</f>
        <v>0</v>
      </c>
      <c r="AJ2">
        <f>process[[#This Row],[Correction]]</f>
        <v>0</v>
      </c>
      <c r="AK2">
        <f>process[[#This Row],[Shipped Qty. Not Returned]]</f>
        <v>0</v>
      </c>
      <c r="AL2">
        <f>process[[#This Row],[Prod. Order Comp. Line No.]]</f>
        <v>0</v>
      </c>
      <c r="AM2">
        <f>process[[#This Row],[Item Tracking]]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4</v>
      </c>
      <c r="B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BV2"/>
  <sheetViews>
    <sheetView topLeftCell="X1" workbookViewId="0">
      <selection activeCell="AC1" sqref="AC1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24.33203125" bestFit="1" customWidth="1"/>
    <col min="20" max="20" width="14.33203125" bestFit="1" customWidth="1"/>
    <col min="21" max="21" width="17" bestFit="1" customWidth="1"/>
    <col min="22" max="23" width="25" bestFit="1" customWidth="1"/>
    <col min="24" max="24" width="22.6640625" bestFit="1" customWidth="1"/>
    <col min="25" max="25" width="22" bestFit="1" customWidth="1"/>
    <col min="26" max="26" width="19.6640625" bestFit="1" customWidth="1"/>
    <col min="27" max="27" width="14.83203125" bestFit="1" customWidth="1"/>
    <col min="28" max="28" width="16.1640625" bestFit="1" customWidth="1"/>
    <col min="29" max="29" width="20.5" bestFit="1" customWidth="1"/>
    <col min="30" max="30" width="24.1640625" bestFit="1" customWidth="1"/>
    <col min="31" max="31" width="24.83203125" bestFit="1" customWidth="1"/>
    <col min="32" max="32" width="17" bestFit="1" customWidth="1"/>
    <col min="33" max="33" width="23" bestFit="1" customWidth="1"/>
    <col min="34" max="34" width="27.33203125" bestFit="1" customWidth="1"/>
    <col min="35" max="35" width="25" bestFit="1" customWidth="1"/>
    <col min="36" max="36" width="20" bestFit="1" customWidth="1"/>
    <col min="37" max="37" width="16.6640625" bestFit="1" customWidth="1"/>
    <col min="38" max="38" width="19.83203125" bestFit="1" customWidth="1"/>
    <col min="39" max="39" width="15.83203125" bestFit="1" customWidth="1"/>
    <col min="40" max="40" width="17.33203125" bestFit="1" customWidth="1"/>
    <col min="41" max="41" width="23.5" bestFit="1" customWidth="1"/>
    <col min="42" max="42" width="19.6640625" bestFit="1" customWidth="1"/>
    <col min="43" max="43" width="14.6640625" bestFit="1" customWidth="1"/>
    <col min="44" max="44" width="16.1640625" bestFit="1" customWidth="1"/>
    <col min="45" max="45" width="12.1640625" bestFit="1" customWidth="1"/>
    <col min="46" max="46" width="15.33203125" bestFit="1" customWidth="1"/>
    <col min="47" max="47" width="26" bestFit="1" customWidth="1"/>
    <col min="48" max="48" width="28.1640625" bestFit="1" customWidth="1"/>
    <col min="49" max="49" width="24.83203125" bestFit="1" customWidth="1"/>
    <col min="50" max="50" width="24.33203125" bestFit="1" customWidth="1"/>
    <col min="51" max="51" width="25.83203125" bestFit="1" customWidth="1"/>
    <col min="52" max="52" width="29.6640625" bestFit="1" customWidth="1"/>
    <col min="53" max="53" width="30.83203125" bestFit="1" customWidth="1"/>
    <col min="54" max="54" width="27.6640625" bestFit="1" customWidth="1"/>
    <col min="55" max="55" width="28.6640625" bestFit="1" customWidth="1"/>
    <col min="56" max="56" width="9.83203125" bestFit="1" customWidth="1"/>
    <col min="57" max="57" width="14" bestFit="1" customWidth="1"/>
    <col min="58" max="58" width="16.5" bestFit="1" customWidth="1"/>
    <col min="59" max="59" width="14.6640625" bestFit="1" customWidth="1"/>
    <col min="60" max="60" width="13.6640625" bestFit="1" customWidth="1"/>
    <col min="61" max="61" width="23.5" bestFit="1" customWidth="1"/>
    <col min="62" max="62" width="25.33203125" bestFit="1" customWidth="1"/>
    <col min="63" max="63" width="7.6640625" bestFit="1" customWidth="1"/>
    <col min="64" max="64" width="6.83203125" bestFit="1" customWidth="1"/>
    <col min="65" max="65" width="20.5" bestFit="1" customWidth="1"/>
    <col min="66" max="66" width="20.83203125" bestFit="1" customWidth="1"/>
    <col min="67" max="67" width="20.5" bestFit="1" customWidth="1"/>
    <col min="68" max="68" width="20.6640625" bestFit="1" customWidth="1"/>
    <col min="69" max="69" width="16.1640625" bestFit="1" customWidth="1"/>
    <col min="70" max="70" width="17.33203125" bestFit="1" customWidth="1"/>
    <col min="71" max="71" width="20.1640625" bestFit="1" customWidth="1"/>
    <col min="72" max="72" width="15.5" bestFit="1" customWidth="1"/>
    <col min="73" max="73" width="14.1640625" bestFit="1" customWidth="1"/>
    <col min="74" max="74" width="15.6640625" bestFit="1" customWidth="1"/>
  </cols>
  <sheetData>
    <row r="1" spans="1:74" x14ac:dyDescent="0.2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76</v>
      </c>
      <c r="BU1" t="s">
        <v>77</v>
      </c>
      <c r="BV1" t="s">
        <v>78</v>
      </c>
    </row>
    <row r="2" spans="1:74" x14ac:dyDescent="0.2">
      <c r="C2" s="4"/>
      <c r="AF2" s="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ENTRY NO. MAP</vt:lpstr>
      <vt:lpstr>PROCESS</vt:lpstr>
      <vt:lpstr>T2C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2024-07-24T14:54:13Z</dcterms:modified>
</cp:coreProperties>
</file>