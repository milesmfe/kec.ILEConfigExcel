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6FEB07F8-CB0C-2F41-89C0-0200F917A8FF}" xr6:coauthVersionLast="47" xr6:coauthVersionMax="47" xr10:uidLastSave="{00000000-0000-0000-0000-000000000000}"/>
  <bookViews>
    <workbookView xWindow="1720" yWindow="1520" windowWidth="27640" windowHeight="16940" xr2:uid="{55C7882C-EF86-2341-98E2-767BC770FFD0}"/>
  </bookViews>
  <sheets>
    <sheet name="INPUT" sheetId="1" r:id="rId1"/>
    <sheet name="ILE ENTRY NO. MAP" sheetId="9" r:id="rId2"/>
    <sheet name="OUTPUT" sheetId="7" r:id="rId3"/>
    <sheet name="ENTRY NO. MAP" sheetId="8" r:id="rId4"/>
    <sheet name="LINES" sheetId="2" r:id="rId5"/>
    <sheet name="BUDDY" sheetId="6" r:id="rId6"/>
    <sheet name="PROCESS" sheetId="3" r:id="rId7"/>
    <sheet name="T2C" sheetId="5" r:id="rId8"/>
    <sheet name="EXCHANGE LOOKUP" sheetId="4" r:id="rId9"/>
    <sheet name="CUSTOMER MAP" sheetId="11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J2" i="3" l="1"/>
  <c r="E2" i="2" s="1"/>
  <c r="CC2" i="3"/>
  <c r="AU2" i="2" s="1"/>
  <c r="R2" i="6"/>
  <c r="Z2" i="6"/>
  <c r="K2" i="2"/>
  <c r="K2" i="6"/>
  <c r="CI2" i="3"/>
  <c r="V2" i="2"/>
  <c r="V2" i="6"/>
  <c r="H2" i="6"/>
  <c r="H2" i="2"/>
  <c r="BV2" i="3"/>
  <c r="N2" i="6"/>
  <c r="M2" i="6"/>
  <c r="L2" i="6"/>
  <c r="D2" i="6" s="1"/>
  <c r="BA2" i="6"/>
  <c r="AZ2" i="6"/>
  <c r="AY2" i="6"/>
  <c r="AX2" i="6"/>
  <c r="AW2" i="6"/>
  <c r="AV2" i="6"/>
  <c r="AT2" i="6"/>
  <c r="AQ2" i="6"/>
  <c r="AP2" i="6"/>
  <c r="AO2" i="6"/>
  <c r="AN2" i="6"/>
  <c r="AM2" i="6"/>
  <c r="AL2" i="6"/>
  <c r="AK2" i="6"/>
  <c r="AJ2" i="6"/>
  <c r="AI2" i="6"/>
  <c r="AH2" i="6"/>
  <c r="AG2" i="6"/>
  <c r="AF2" i="6"/>
  <c r="AD2" i="6"/>
  <c r="AC2" i="6"/>
  <c r="AB2" i="6"/>
  <c r="AA2" i="6"/>
  <c r="X2" i="6"/>
  <c r="W2" i="6"/>
  <c r="U2" i="6"/>
  <c r="T2" i="6"/>
  <c r="S2" i="6"/>
  <c r="Q2" i="6"/>
  <c r="O2" i="6"/>
  <c r="J2" i="6"/>
  <c r="I2" i="6"/>
  <c r="G2" i="6"/>
  <c r="F2" i="6"/>
  <c r="C2" i="6"/>
  <c r="B2" i="6"/>
  <c r="A2" i="6"/>
  <c r="A2" i="2"/>
  <c r="BA2" i="2"/>
  <c r="AZ2" i="2"/>
  <c r="AY2" i="2"/>
  <c r="AX2" i="2"/>
  <c r="AW2" i="2"/>
  <c r="AV2" i="2"/>
  <c r="AT2" i="2"/>
  <c r="AQ2" i="2"/>
  <c r="AP2" i="2"/>
  <c r="AO2" i="2"/>
  <c r="AN2" i="2"/>
  <c r="AM2" i="2"/>
  <c r="AL2" i="2"/>
  <c r="AK2" i="2"/>
  <c r="AJ2" i="2"/>
  <c r="AI2" i="2"/>
  <c r="AH2" i="2"/>
  <c r="AG2" i="2"/>
  <c r="AF2" i="2"/>
  <c r="AD2" i="2"/>
  <c r="AC2" i="2"/>
  <c r="AB2" i="2"/>
  <c r="AA2" i="2"/>
  <c r="Z2" i="2"/>
  <c r="X2" i="2"/>
  <c r="W2" i="2"/>
  <c r="U2" i="2"/>
  <c r="T2" i="2"/>
  <c r="S2" i="2"/>
  <c r="Q2" i="2"/>
  <c r="O2" i="2"/>
  <c r="N2" i="2"/>
  <c r="M2" i="2"/>
  <c r="L2" i="2"/>
  <c r="J2" i="2"/>
  <c r="I2" i="2"/>
  <c r="G2" i="2"/>
  <c r="F2" i="2"/>
  <c r="D2" i="2"/>
  <c r="C2" i="2"/>
  <c r="B2" i="2"/>
  <c r="CE2" i="3"/>
  <c r="CA2" i="3"/>
  <c r="AE2" i="2" s="1"/>
  <c r="BY2" i="3"/>
  <c r="BW2" i="3"/>
  <c r="E2" i="6" l="1"/>
  <c r="AE2" i="6"/>
  <c r="AU2" i="6"/>
  <c r="CD2" i="3"/>
  <c r="CF2" i="3"/>
  <c r="BX2" i="3"/>
  <c r="BZ2" i="3"/>
  <c r="CB2" i="3"/>
  <c r="CH2" i="3" l="1"/>
  <c r="CG2" i="3"/>
  <c r="AS2" i="2" l="1"/>
  <c r="Y2" i="2"/>
  <c r="AS2" i="6"/>
  <c r="Y2" i="6"/>
  <c r="P2" i="2"/>
  <c r="R2" i="2" s="1"/>
  <c r="AR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ARQADIA\RASA PLIOPLIENE</author>
  </authors>
  <commentList>
    <comment ref="A1" authorId="0" shapeId="0" xr:uid="{67F395A3-E1E9-0445-9E41-9A16D2494A9C}">
      <text>
        <r>
          <rPr>
            <b/>
            <sz val="9"/>
            <color rgb="FF000000"/>
            <rFont val="Tahoma"/>
            <family val="2"/>
          </rPr>
          <t>Date</t>
        </r>
      </text>
    </comment>
    <comment ref="B1" authorId="0" shapeId="0" xr:uid="{5E15F8B6-A6DD-AD4A-AC43-41C9EA256C34}">
      <text>
        <r>
          <rPr>
            <b/>
            <sz val="9"/>
            <color rgb="FF000000"/>
            <rFont val="Tahoma"/>
            <family val="2"/>
          </rPr>
          <t>Decimal</t>
        </r>
      </text>
    </comment>
  </commentList>
</comments>
</file>

<file path=xl/sharedStrings.xml><?xml version="1.0" encoding="utf-8"?>
<sst xmlns="http://schemas.openxmlformats.org/spreadsheetml/2006/main" count="347" uniqueCount="185">
  <si>
    <t>Entry No.</t>
  </si>
  <si>
    <t xml:space="preserve"> Item No.</t>
  </si>
  <si>
    <t xml:space="preserve"> Posting Date</t>
  </si>
  <si>
    <t xml:space="preserve"> Item Ledger Entry Type</t>
  </si>
  <si>
    <t xml:space="preserve"> Source No.</t>
  </si>
  <si>
    <t xml:space="preserve"> Document No.</t>
  </si>
  <si>
    <t xml:space="preserve"> Description</t>
  </si>
  <si>
    <t xml:space="preserve"> Location Code</t>
  </si>
  <si>
    <t xml:space="preserve"> Inventory Posting Group</t>
  </si>
  <si>
    <t xml:space="preserve"> Source Posting Group</t>
  </si>
  <si>
    <t xml:space="preserve"> Item Ledger Entry No.</t>
  </si>
  <si>
    <t xml:space="preserve"> Valued Quantity</t>
  </si>
  <si>
    <t xml:space="preserve"> Item Ledger Entry Quantity</t>
  </si>
  <si>
    <t xml:space="preserve"> Invoiced Quantity</t>
  </si>
  <si>
    <t xml:space="preserve"> Cost per Unit</t>
  </si>
  <si>
    <t xml:space="preserve"> Sales Amount (Actual)</t>
  </si>
  <si>
    <t xml:space="preserve"> Salespers./Purch. Code</t>
  </si>
  <si>
    <t xml:space="preserve"> Discount Amount</t>
  </si>
  <si>
    <t xml:space="preserve"> User ID</t>
  </si>
  <si>
    <t xml:space="preserve"> Source Code</t>
  </si>
  <si>
    <t xml:space="preserve"> Applies-to Entry</t>
  </si>
  <si>
    <t xml:space="preserve"> Global Dimension 1 Code</t>
  </si>
  <si>
    <t xml:space="preserve"> Global Dimension 2 Code</t>
  </si>
  <si>
    <t xml:space="preserve"> Source Type</t>
  </si>
  <si>
    <t xml:space="preserve"> Cost Amount (Actual)</t>
  </si>
  <si>
    <t xml:space="preserve"> Cost Posted to G/L</t>
  </si>
  <si>
    <t xml:space="preserve"> Reason Code</t>
  </si>
  <si>
    <t xml:space="preserve"> Drop Shipment</t>
  </si>
  <si>
    <t xml:space="preserve"> Journal Batch Name</t>
  </si>
  <si>
    <t xml:space="preserve"> Gen. Bus. Posting Group</t>
  </si>
  <si>
    <t xml:space="preserve"> Gen. Prod. Posting Group</t>
  </si>
  <si>
    <t xml:space="preserve"> Document Date</t>
  </si>
  <si>
    <t xml:space="preserve"> External Document No.</t>
  </si>
  <si>
    <t xml:space="preserve"> Cost Amount (Actual) (ACY)</t>
  </si>
  <si>
    <t xml:space="preserve"> Cost Posted to G/L (ACY)</t>
  </si>
  <si>
    <t xml:space="preserve"> Cost per Unit (ACY)</t>
  </si>
  <si>
    <t xml:space="preserve"> Document Type</t>
  </si>
  <si>
    <t xml:space="preserve"> Document Line No.</t>
  </si>
  <si>
    <t xml:space="preserve"> Expected Cost</t>
  </si>
  <si>
    <t xml:space="preserve"> Item Charge No.</t>
  </si>
  <si>
    <t xml:space="preserve"> Valued By Average Cost</t>
  </si>
  <si>
    <t xml:space="preserve"> Partial Revaluation</t>
  </si>
  <si>
    <t xml:space="preserve"> Inventoriable</t>
  </si>
  <si>
    <t xml:space="preserve"> Valuation Date</t>
  </si>
  <si>
    <t xml:space="preserve"> Entry Type</t>
  </si>
  <si>
    <t xml:space="preserve"> Variance Type</t>
  </si>
  <si>
    <t xml:space="preserve"> Purchase Amount (Actual)</t>
  </si>
  <si>
    <t xml:space="preserve"> Purchase Amount (Expected)</t>
  </si>
  <si>
    <t xml:space="preserve"> Sales Amount (Expected)</t>
  </si>
  <si>
    <t xml:space="preserve"> Cost Amount (Expected)</t>
  </si>
  <si>
    <t xml:space="preserve"> Cost Amount (Non-Invtbl.)</t>
  </si>
  <si>
    <t xml:space="preserve"> Cost Amount (Expected) (ACY)</t>
  </si>
  <si>
    <t xml:space="preserve"> Cost Amount (Non-Invtbl.)(ACY)</t>
  </si>
  <si>
    <t xml:space="preserve"> Expected Cost Posted to G/L</t>
  </si>
  <si>
    <t xml:space="preserve"> Exp. Cost Posted to G/L (ACY)</t>
  </si>
  <si>
    <t xml:space="preserve"> Job No.</t>
  </si>
  <si>
    <t xml:space="preserve"> Job Task No.</t>
  </si>
  <si>
    <t xml:space="preserve"> Prod. Order No.</t>
  </si>
  <si>
    <t xml:space="preserve"> Variant Code</t>
  </si>
  <si>
    <t xml:space="preserve"> Adjustment</t>
  </si>
  <si>
    <t xml:space="preserve"> Average Cost Exception</t>
  </si>
  <si>
    <t xml:space="preserve"> Capacity Ledger Entry No.</t>
  </si>
  <si>
    <t xml:space="preserve"> Type</t>
  </si>
  <si>
    <t xml:space="preserve"> No.</t>
  </si>
  <si>
    <t xml:space="preserve"> Prod. Order Line No.</t>
  </si>
  <si>
    <t xml:space="preserve"> Return Reason Code</t>
  </si>
  <si>
    <t xml:space="preserve"> Item Category Code</t>
  </si>
  <si>
    <t xml:space="preserve"> Product Group Code</t>
  </si>
  <si>
    <t xml:space="preserve"> Surcharge</t>
  </si>
  <si>
    <t xml:space="preserve"> G/L Account No.</t>
  </si>
  <si>
    <t xml:space="preserve"> fBlnTransMainEntry</t>
  </si>
  <si>
    <t xml:space="preserve"> fBlnMainEntry</t>
  </si>
  <si>
    <t xml:space="preserve"> IC-Unit Cost</t>
  </si>
  <si>
    <t>Paste input data into cell A1</t>
  </si>
  <si>
    <t>Ensure commas (,) are replaced with full stops (.) before using this tool</t>
  </si>
  <si>
    <t>Ensure macros are enabled</t>
  </si>
  <si>
    <t>Date</t>
  </si>
  <si>
    <t>Exchange Rate</t>
  </si>
  <si>
    <t>Sales Amount (Actual) CORRECTED</t>
  </si>
  <si>
    <t>Sales Amount (Expected) CORRECTED</t>
  </si>
  <si>
    <t>Cost Amount (Actual) CORRECTED</t>
  </si>
  <si>
    <t>Cost Amount (Expected) CORRECTED</t>
  </si>
  <si>
    <t>Discount Amount CORRECTED</t>
  </si>
  <si>
    <t>Sales Amount (Actual) CZK</t>
  </si>
  <si>
    <t>Sales Amount (Expected) CZK</t>
  </si>
  <si>
    <t>Cost Amount (Actual) CZK</t>
  </si>
  <si>
    <t>Cost Amount (Expected) CZK</t>
  </si>
  <si>
    <t>Discount Amount CZK</t>
  </si>
  <si>
    <t>Update Sales Amounts</t>
  </si>
  <si>
    <t>Update Cost Amounts</t>
  </si>
  <si>
    <t>ORIGINAL</t>
  </si>
  <si>
    <t>NEW</t>
  </si>
  <si>
    <t>Update ILE Entry No.</t>
  </si>
  <si>
    <t>Complete ILE FIRST and ensure ILE ENTRY NO. MAP is populated before running</t>
  </si>
  <si>
    <t>Customer ID (NAV5)</t>
  </si>
  <si>
    <t>Customer ID (NAV17)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</si>
  <si>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</si>
  <si>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</si>
  <si>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</si>
  <si>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</si>
  <si>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</si>
  <si>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</si>
  <si>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</si>
  <si>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</si>
  <si>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</si>
  <si>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</si>
  <si>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</si>
  <si>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</si>
  <si>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</si>
  <si>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</si>
  <si>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</si>
  <si>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</si>
  <si>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</si>
  <si>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</si>
  <si>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</si>
  <si>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</si>
  <si>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</si>
  <si>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</si>
  <si>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</si>
  <si>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</si>
  <si>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</si>
  <si>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</si>
  <si>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</si>
  <si>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</si>
  <si>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</si>
  <si>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</si>
  <si>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</si>
  <si>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</si>
  <si>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</si>
  <si>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</si>
  <si>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</si>
  <si>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</si>
  <si>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</si>
  <si>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</si>
  <si>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</si>
  <si>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</si>
  <si>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</si>
  <si>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</si>
  <si>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</si>
  <si>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</si>
  <si>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</si>
  <si>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</si>
  <si>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</si>
  <si>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</si>
  <si>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</si>
  <si>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</si>
  <si>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</si>
  <si>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</si>
  <si>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</si>
  <si>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</si>
  <si>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</si>
  <si>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</si>
  <si>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</si>
  <si>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</si>
  <si>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</si>
  <si>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</si>
  <si>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</si>
  <si>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</si>
  <si>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</si>
  <si>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</si>
  <si>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</si>
  <si>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</si>
  <si>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</si>
  <si>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</si>
  <si>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</si>
  <si>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</si>
  <si>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</si>
  <si>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</si>
  <si>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</si>
  <si>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</si>
  <si>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</si>
  <si>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</si>
  <si>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</si>
  <si>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</si>
  <si>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</si>
  <si>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</si>
  <si>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</si>
  <si>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</si>
  <si>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</si>
  <si>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</si>
  <si>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</si>
  <si>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</si>
  <si>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</si>
  <si>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</si>
  <si>
    <t>Updated Source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</si>
</sst>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5" borderId="0" xfId="0" applyFill="1"/>
    <xf numFmtId="49" fontId="4" fillId="2" borderId="2" xfId="0" applyNumberFormat="1" applyFont="1" applyFill="1" applyBorder="1"/>
    <xf numFmtId="14" fontId="5" fillId="6" borderId="12" xfId="0" applyNumberFormat="1" applyFont="1" applyFill="1" applyBorder="1"/>
    <xf numFmtId="14" fontId="5" fillId="0" borderId="12" xfId="0" applyNumberFormat="1" applyFont="1" applyBorder="1"/>
    <xf numFmtId="14" fontId="5" fillId="6" borderId="13" xfId="0" applyNumberFormat="1" applyFont="1" applyFill="1" applyBorder="1"/>
    <xf numFmtId="0" fontId="5" fillId="6" borderId="12" xfId="0" applyFont="1" applyFill="1" applyBorder="1"/>
    <xf numFmtId="0" fontId="5" fillId="0" borderId="12" xfId="0" applyFont="1" applyBorder="1"/>
    <xf numFmtId="0" fontId="5" fillId="6" borderId="13" xfId="0" applyFont="1" applyFill="1" applyBorder="1"/>
    <xf numFmtId="0" fontId="0" fillId="3" borderId="0" xfId="0" applyFill="1" applyProtection="1">
      <protection locked="0"/>
    </xf>
    <xf numFmtId="14" fontId="1" fillId="2" borderId="2" xfId="0" applyNumberFormat="1" applyFont="1" applyFill="1" applyBorder="1"/>
    <xf numFmtId="49" fontId="0" fillId="0" borderId="0" xfId="0" applyNumberFormat="1"/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1">
    <cellStyle name="Normal" xfId="0" builtinId="0"/>
  </cellStyles>
  <dxfs count="112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0" formatCode="@"/>
      <fill>
        <patternFill patternType="solid">
          <fgColor theme="4"/>
          <bgColor theme="4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DB1C2-4521-2F4A-BECC-6B05B55915A6}" name="ILEEntryNoMap" displayName="ILEEntryNoMap" ref="A1:B2" totalsRowShown="0">
  <autoFilter ref="A1:B2" xr:uid="{2E5DB1C2-4521-2F4A-BECC-6B05B55915A6}"/>
  <tableColumns count="2">
    <tableColumn id="1" xr3:uid="{7A7D2F50-FD74-0E4D-B2FD-2675DB2694CB}" name="ORIGINAL"/>
    <tableColumn id="2" xr3:uid="{1ED49A5E-2D6A-3440-826F-75167F1B56DE}" name="NE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2DCAEF-E189-8D4B-B469-4551AA1DE3FA}" name="output" displayName="output" ref="A1:BA2" totalsRowShown="0" headerRowDxfId="111" headerRowBorderDxfId="110" tableBorderDxfId="109">
  <autoFilter ref="A1:BA2" xr:uid="{4E2DCAEF-E189-8D4B-B469-4551AA1DE3FA}"/>
  <tableColumns count="53">
    <tableColumn id="1" xr3:uid="{EE29735B-B463-F44B-BC62-689659962D0C}" name="Entry No."/>
    <tableColumn id="2" xr3:uid="{DA6D2A6B-A2C6-EB48-8664-468FA7F57F14}" name=" Item No."/>
    <tableColumn id="3" xr3:uid="{62C2E74F-1B75-474A-8458-94A07210F0F5}" name=" Posting Date" dataDxfId="108"/>
    <tableColumn id="4" xr3:uid="{9836619F-0E94-D748-B134-D70561D5C698}" name=" Item Ledger Entry Type"/>
    <tableColumn id="5" xr3:uid="{09F462E6-3A4E-C04E-AA4C-45CE8AE649D9}" name=" Source No."/>
    <tableColumn id="6" xr3:uid="{A67F9800-5440-CA48-BCEF-899EA668AA8A}" name=" Document No."/>
    <tableColumn id="7" xr3:uid="{C61219DA-1E23-1646-A149-243079DDD167}" name=" Description"/>
    <tableColumn id="8" xr3:uid="{0F31BA1E-6C2F-D844-8FB0-117D4DB691AE}" name=" Location Code"/>
    <tableColumn id="9" xr3:uid="{A0DC46D3-A6EC-EC48-B8B8-FB0892942C3E}" name=" Inventory Posting Group"/>
    <tableColumn id="10" xr3:uid="{AE4DFC9F-ADB8-334A-8696-F23CC540FCB1}" name=" Source Posting Group"/>
    <tableColumn id="11" xr3:uid="{C4E691AC-80F7-574D-AD54-BC086E1F87CC}" name=" Item Ledger Entry No."/>
    <tableColumn id="12" xr3:uid="{562A62C3-87F2-9143-B122-557495DF565F}" name=" Valued Quantity"/>
    <tableColumn id="13" xr3:uid="{657C9A1C-EE73-CC48-8D33-6D660B56E154}" name=" Item Ledger Entry Quantity"/>
    <tableColumn id="14" xr3:uid="{0AB24470-4B42-B247-B0AB-BA02B9316F0B}" name=" Invoiced Quantity"/>
    <tableColumn id="15" xr3:uid="{2A4AF439-EB09-AF4C-A747-D7825DB11976}" name=" Cost per Unit"/>
    <tableColumn id="16" xr3:uid="{70196C26-F6AF-DE4C-84E0-E5F8AF41A643}" name=" Sales Amount (Actual)"/>
    <tableColumn id="17" xr3:uid="{E42E4A7E-D670-1D46-84F3-AE05BBCDE0EA}" name=" Salespers./Purch. Code"/>
    <tableColumn id="18" xr3:uid="{032B9997-A1C1-384C-814F-DD197FE991AE}" name=" Discount Amount"/>
    <tableColumn id="19" xr3:uid="{B7C40D2B-BE1B-3C4D-9E11-E303F7B6B839}" name=" User ID"/>
    <tableColumn id="20" xr3:uid="{0A09F24D-933D-FE40-97A4-5A893AFC653B}" name=" Source Code"/>
    <tableColumn id="21" xr3:uid="{360D7F6E-ED17-C64E-B9F7-157A8B24731A}" name=" Applies-to Entry"/>
    <tableColumn id="22" xr3:uid="{F5ACB446-FB00-3446-AB90-832F7C81B3CB}" name=" Global Dimension 1 Code"/>
    <tableColumn id="23" xr3:uid="{B3879430-9E2A-B54C-8428-71129BB6EFDD}" name=" Global Dimension 2 Code"/>
    <tableColumn id="24" xr3:uid="{790AB7B5-91BA-0F47-8E39-EF8ED3235C88}" name=" Source Type"/>
    <tableColumn id="25" xr3:uid="{1B1B5745-AE68-C746-81B0-E9366CA573DA}" name=" Cost Amount (Actual)"/>
    <tableColumn id="26" xr3:uid="{D95410F2-6A5B-6046-B3B1-9673E7A8D10C}" name=" Cost Posted to G/L"/>
    <tableColumn id="27" xr3:uid="{3D213EA0-BA65-B444-A328-390556424511}" name=" Drop Shipment"/>
    <tableColumn id="28" xr3:uid="{8029E211-88BA-1E48-ADC1-5B568DA1A0BD}" name=" Gen. Bus. Posting Group"/>
    <tableColumn id="29" xr3:uid="{E999B088-F293-8D43-918A-4601C01FD14D}" name=" Gen. Prod. Posting Group"/>
    <tableColumn id="30" xr3:uid="{C8C366D4-6335-414A-8C20-50F21F3A2725}" name=" Document Date" dataDxfId="107"/>
    <tableColumn id="31" xr3:uid="{94A7F220-1BBF-7E40-A3E8-B769F594C8C2}" name=" Cost Amount (Actual) (ACY)"/>
    <tableColumn id="32" xr3:uid="{A1C385DF-33DF-8947-93AB-47B48E2EB00F}" name=" Cost Posted to G/L (ACY)"/>
    <tableColumn id="33" xr3:uid="{294D810B-DADA-D243-A730-E70118E107E2}" name=" Cost per Unit (ACY)"/>
    <tableColumn id="34" xr3:uid="{A6C28109-8948-D849-B7DA-B4653832EBBB}" name=" Document Type"/>
    <tableColumn id="35" xr3:uid="{643ACF22-ACFD-0A4E-A579-4FA231FDEDE4}" name=" Document Line No."/>
    <tableColumn id="36" xr3:uid="{0686257A-7C89-F94C-BE4D-D937B6CBF69C}" name=" Expected Cost"/>
    <tableColumn id="37" xr3:uid="{67345129-3EB5-574B-9D9A-66CF99B3F2E9}" name=" Valued By Average Cost"/>
    <tableColumn id="38" xr3:uid="{2D1E8EB1-7E92-F843-AA87-7E9401EA0ADF}" name=" Partial Revaluation"/>
    <tableColumn id="39" xr3:uid="{1A87BEE2-1016-0A42-8A38-6ADDC57DA73B}" name=" Inventoriable"/>
    <tableColumn id="40" xr3:uid="{01E8BCD3-8257-7C46-99DC-361A2CCA093D}" name=" Valuation Date" dataDxfId="106"/>
    <tableColumn id="41" xr3:uid="{34AA7942-1218-8F49-89B0-96BE5B494F14}" name=" Entry Type"/>
    <tableColumn id="42" xr3:uid="{2A14F075-5F35-1A46-944A-34C26C9D37B0}" name=" Purchase Amount (Actual)"/>
    <tableColumn id="43" xr3:uid="{E0E3CD23-9A12-FB46-BC04-479096C73483}" name=" Purchase Amount (Expected)"/>
    <tableColumn id="44" xr3:uid="{7741452D-2B82-1A46-AECE-374EB0CFCBE8}" name=" Sales Amount (Expected)"/>
    <tableColumn id="45" xr3:uid="{7A390C15-15D3-474E-9E6F-4BDF87EC4090}" name=" Cost Amount (Expected)"/>
    <tableColumn id="46" xr3:uid="{69046FFF-4625-4948-9D82-4D6DAF106D89}" name=" Cost Amount (Non-Invtbl.)"/>
    <tableColumn id="47" xr3:uid="{302E1347-8F42-6641-943B-3E0F2D0B964C}" name=" Cost Amount (Expected) (ACY)"/>
    <tableColumn id="48" xr3:uid="{8098E981-F9C8-1649-ACD1-6B9D100CA650}" name=" Cost Amount (Non-Invtbl.)(ACY)"/>
    <tableColumn id="49" xr3:uid="{E2AB100C-2074-6149-9738-CAEFD7C9225E}" name=" Expected Cost Posted to G/L"/>
    <tableColumn id="50" xr3:uid="{40799C09-4C68-6045-97DC-DD67D6B6706F}" name=" Exp. Cost Posted to G/L (ACY)"/>
    <tableColumn id="51" xr3:uid="{83DFA38B-43E2-C246-88F2-B288AF3CEF69}" name=" Adjustment"/>
    <tableColumn id="52" xr3:uid="{9923995B-B51D-BE43-AAB2-2C3E9CF9025E}" name=" Average Cost Exception"/>
    <tableColumn id="53" xr3:uid="{73148E87-15FE-8043-8652-FE5109D4C6E6}" name="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DCFEAC-BF73-8445-8000-085DE5E0691D}" name="lines" displayName="lines" ref="A1:BA2" totalsRowShown="0" headerRowDxfId="105" headerRowBorderDxfId="104" tableBorderDxfId="103">
  <autoFilter ref="A1:BA2" xr:uid="{77DCFEAC-BF73-8445-8000-085DE5E0691D}"/>
  <tableColumns count="53">
    <tableColumn id="1" xr3:uid="{60042D01-4187-E648-8A96-D1FEAF55F516}" name="Entry No.">
      <calculatedColumnFormula>process[[#This Row],[Entry No.]]</calculatedColumnFormula>
    </tableColumn>
    <tableColumn id="2" xr3:uid="{B7CCD885-626F-0042-A539-FBAD69C7803D}" name=" Item No.">
      <calculatedColumnFormula>process[[#This Row],[ Item No.]]</calculatedColumnFormula>
    </tableColumn>
    <tableColumn id="3" xr3:uid="{1EE44ADC-E360-EE4E-8E84-F9CBCB4DA951}" name=" Posting Date">
      <calculatedColumnFormula>process[[#This Row],[ Posting Date]]</calculatedColumnFormula>
    </tableColumn>
    <tableColumn id="4" xr3:uid="{29A18EA4-AF43-604F-84D1-E8616D11E361}" name=" Item Ledger Entry Type">
      <calculatedColumnFormula>process[[#This Row],[ Item Ledger Entry Type]]</calculatedColumnFormula>
    </tableColumn>
    <tableColumn id="5" xr3:uid="{1DBB8197-6C53-8343-B393-595820E72320}" name=" Source No." dataDxfId="102">
      <calculatedColumnFormula>process[[#This Row],[Updated Source No.]]</calculatedColumnFormula>
    </tableColumn>
    <tableColumn id="6" xr3:uid="{F93A9C13-AFB5-9947-81AA-F84B4203523F}" name=" Document No.">
      <calculatedColumnFormula>process[[#This Row],[ Document No.]]</calculatedColumnFormula>
    </tableColumn>
    <tableColumn id="7" xr3:uid="{E76B4706-7D31-7344-81BF-BD8D9CC9E039}" name=" Description">
      <calculatedColumnFormula>process[[#This Row],[ Description]]</calculatedColumnFormula>
    </tableColumn>
    <tableColumn id="8" xr3:uid="{428F1445-D215-AF4B-ACF0-70E6938F2671}" name=" Location Code">
      <calculatedColumnFormula>"Y-HISTORY"</calculatedColumnFormula>
    </tableColumn>
    <tableColumn id="9" xr3:uid="{19388374-B124-2F4A-A3AD-7BBF56C61BD5}" name=" Inventory Posting Group">
      <calculatedColumnFormula>process[[#This Row],[ Inventory Posting Group]]</calculatedColumnFormula>
    </tableColumn>
    <tableColumn id="10" xr3:uid="{5DC08D92-7F4A-3547-A434-47AD4ADEF326}" name=" Source Posting Group">
      <calculatedColumnFormula>process[[#This Row],[ Source Posting Group]]</calculatedColumnFormula>
    </tableColumn>
    <tableColumn id="11" xr3:uid="{51665EDD-AF3D-E843-B34B-E07E9CC8A245}" name=" Item Ledger Entry No.">
      <calculatedColumnFormula>process[[#This Row],[Update ILE Entry No.]]</calculatedColumnFormula>
    </tableColumn>
    <tableColumn id="12" xr3:uid="{03B74E2B-0C54-564C-98D3-6B72C2AC8EC1}" name=" Valued Quantity">
      <calculatedColumnFormula>process[[#This Row],[ Valued Quantity]]</calculatedColumnFormula>
    </tableColumn>
    <tableColumn id="13" xr3:uid="{3A77E936-7ACF-234D-B8BB-4DC65BB59F77}" name=" Item Ledger Entry Quantity">
      <calculatedColumnFormula>process[[#This Row],[ Item Ledger Entry Quantity]]</calculatedColumnFormula>
    </tableColumn>
    <tableColumn id="14" xr3:uid="{87A5D18B-0B7B-ED4E-95A8-C7DC784D1C42}" name=" Invoiced Quantity">
      <calculatedColumnFormula>process[[#This Row],[ Invoiced Quantity]]</calculatedColumnFormula>
    </tableColumn>
    <tableColumn id="15" xr3:uid="{34ED44EC-CA25-214A-A0DA-8FB2B04238F9}" name=" Cost per Unit">
      <calculatedColumnFormula>process[[#This Row],[ Cost per Unit]]</calculatedColumnFormula>
    </tableColumn>
    <tableColumn id="16" xr3:uid="{4F04B71C-0F43-FE48-8D25-33B1374E0D02}" name=" Sales Amount (Actual)">
      <calculatedColumnFormula>IF(process[[#This Row],[Update Sales Amounts]],process[[#This Row],[Sales Amount (Expected) CZK]],process[[#This Row],[Sales Amount (Actual) CZK]])</calculatedColumnFormula>
    </tableColumn>
    <tableColumn id="17" xr3:uid="{1C818F1A-C111-E643-9A15-62723C6C5132}" name=" Salespers./Purch. Code">
      <calculatedColumnFormula>process[[#This Row],[ Salespers./Purch. Code]]</calculatedColumnFormula>
    </tableColumn>
    <tableColumn id="18" xr3:uid="{1CB3521A-55C2-9444-84D3-D5427C00D4E3}" name=" Discount Amount">
      <calculatedColumnFormula>IF(lines[[#This Row],[ Sales Amount (Actual)]]=0,0,process[[#This Row],[Discount Amount CZK]])</calculatedColumnFormula>
    </tableColumn>
    <tableColumn id="19" xr3:uid="{4DE709EB-B8F1-9C41-B074-9191F0F60B8F}" name=" User ID">
      <calculatedColumnFormula>process[[#This Row],[ User ID]]</calculatedColumnFormula>
    </tableColumn>
    <tableColumn id="20" xr3:uid="{CD34513E-97C8-AD48-97AD-3B863CE0F984}" name=" Source Code">
      <calculatedColumnFormula>process[[#This Row],[ Source Code]]</calculatedColumnFormula>
    </tableColumn>
    <tableColumn id="21" xr3:uid="{3C64E12E-DF09-3E43-A162-ACF7C251636F}" name=" Applies-to Entry">
      <calculatedColumnFormula>process[[#This Row],[ Applies-to Entry]]</calculatedColumnFormula>
    </tableColumn>
    <tableColumn id="22" xr3:uid="{A07009AD-7DAE-874A-B0AD-B02B7745DBC5}" name=" Global Dimension 1 Code">
      <calculatedColumnFormula>" &amp; firstGlobalDimCode &amp; "</calculatedColumnFormula>
    </tableColumn>
    <tableColumn id="23" xr3:uid="{7DC963F8-3C77-0448-B64A-F24C5BF8B50D}" name=" Global Dimension 2 Code">
      <calculatedColumnFormula>process[[#This Row],[ Global Dimension 2 Code]]</calculatedColumnFormula>
    </tableColumn>
    <tableColumn id="24" xr3:uid="{977A90BD-58CA-5B41-9AF9-AE6131D44252}" name=" Source Type">
      <calculatedColumnFormula>process[[#This Row],[ Source Type]]</calculatedColumnFormula>
    </tableColumn>
    <tableColumn id="25" xr3:uid="{53386FC4-C2E0-494F-93DA-D25E25F7ED1D}" name=" Cost Amount (Actual)">
      <calculatedColumnFormula>IF(process[[#This Row],[Update Cost Amounts]],process[[#This Row],[Cost Amount (Expected) CZK]],process[[#This Row],[Cost Amount (Actual) CZK]])</calculatedColumnFormula>
    </tableColumn>
    <tableColumn id="26" xr3:uid="{E87E2A47-4200-1C48-9318-298AC72CA285}" name=" Cost Posted to G/L">
      <calculatedColumnFormula>process[[#This Row],[ Cost Posted to G/L]]</calculatedColumnFormula>
    </tableColumn>
    <tableColumn id="27" xr3:uid="{DB8BE983-A0F5-5B48-B714-020202F4D305}" name=" Drop Shipment">
      <calculatedColumnFormula>process[[#This Row],[ Drop Shipment]]</calculatedColumnFormula>
    </tableColumn>
    <tableColumn id="28" xr3:uid="{73C9A327-5913-D846-A674-2D3E9F10E13C}" name=" Gen. Bus. Posting Group">
      <calculatedColumnFormula>process[[#This Row],[ Gen. Bus. Posting Group]]</calculatedColumnFormula>
    </tableColumn>
    <tableColumn id="29" xr3:uid="{EB8A659D-83F9-BB42-9516-08665E6E16E0}" name=" Gen. Prod. Posting Group">
      <calculatedColumnFormula>process[[#This Row],[ Gen. Prod. Posting Group]]</calculatedColumnFormula>
    </tableColumn>
    <tableColumn id="30" xr3:uid="{3E6B9914-E890-8943-AD2B-834B96E1A2F0}" name=" Document Date">
      <calculatedColumnFormula>process[[#This Row],[ Document Date]]</calculatedColumnFormula>
    </tableColumn>
    <tableColumn id="31" xr3:uid="{A6555AE0-41B4-314E-90BE-C09D8C6A3C20}" name=" Cost Amount (Actual) (ACY)">
      <calculatedColumnFormula>process[[#This Row],[Cost Amount (Actual) CORRECTED]]</calculatedColumnFormula>
    </tableColumn>
    <tableColumn id="32" xr3:uid="{1533E4B1-A85D-C646-AF52-710F54D6B9F5}" name=" Cost Posted to G/L (ACY)">
      <calculatedColumnFormula>process[[#This Row],[ Cost Posted to G/L (ACY)]]</calculatedColumnFormula>
    </tableColumn>
    <tableColumn id="33" xr3:uid="{47FB1C6F-BBA8-9647-B110-C64B5CF09178}" name=" Cost per Unit (ACY)">
      <calculatedColumnFormula>process[[#This Row],[ Cost per Unit (ACY)]]</calculatedColumnFormula>
    </tableColumn>
    <tableColumn id="34" xr3:uid="{AB3A6C44-47CF-CC4D-B505-76A29CB0E827}" name=" Document Type">
      <calculatedColumnFormula>process[[#This Row],[ Document Type]]</calculatedColumnFormula>
    </tableColumn>
    <tableColumn id="35" xr3:uid="{B56D7CD6-F831-CA4F-B8E2-C7AB46E21642}" name=" Document Line No.">
      <calculatedColumnFormula>process[[#This Row],[ Document Line No.]]</calculatedColumnFormula>
    </tableColumn>
    <tableColumn id="36" xr3:uid="{22091EB9-FDB4-A647-BD45-354E77D659DF}" name=" Expected Cost">
      <calculatedColumnFormula>process[[#This Row],[ Expected Cost]]</calculatedColumnFormula>
    </tableColumn>
    <tableColumn id="37" xr3:uid="{D5C74F90-B08E-C246-99B6-6DF4FADDC20D}" name=" Valued By Average Cost">
      <calculatedColumnFormula>process[[#This Row],[ Valued By Average Cost]]</calculatedColumnFormula>
    </tableColumn>
    <tableColumn id="38" xr3:uid="{F77F9E02-7F16-7F45-B343-DF3D5C0A2FB5}" name=" Partial Revaluation">
      <calculatedColumnFormula>process[[#This Row],[ Partial Revaluation]]</calculatedColumnFormula>
    </tableColumn>
    <tableColumn id="39" xr3:uid="{1E9DDA33-22D5-CE43-BBFA-BAE06C642536}" name=" Inventoriable">
      <calculatedColumnFormula>process[[#This Row],[ Inventoriable]]</calculatedColumnFormula>
    </tableColumn>
    <tableColumn id="40" xr3:uid="{03CB0BE4-01E5-F248-B99E-B507560F6695}" name=" Valuation Date">
      <calculatedColumnFormula>process[[#This Row],[ Valuation Date]]</calculatedColumnFormula>
    </tableColumn>
    <tableColumn id="41" xr3:uid="{40CE7AC9-7122-634F-B521-22BA2D0B9DD5}" name=" Entry Type">
      <calculatedColumnFormula>process[[#This Row],[ Entry Type]]</calculatedColumnFormula>
    </tableColumn>
    <tableColumn id="42" xr3:uid="{163E0362-34C6-7D49-B483-98A68DFAE919}" name=" Purchase Amount (Actual)">
      <calculatedColumnFormula>process[[#This Row],[ Purchase Amount (Actual)]]</calculatedColumnFormula>
    </tableColumn>
    <tableColumn id="43" xr3:uid="{9DABE089-06D7-564D-B97A-89EBBAA6A659}" name=" Purchase Amount (Expected)">
      <calculatedColumnFormula>process[[#This Row],[ Purchase Amount (Expected)]]</calculatedColumnFormula>
    </tableColumn>
    <tableColumn id="44" xr3:uid="{CCD85DA8-8C66-664F-8A9D-AB78785EADE4}" name=" Sales Amount (Expected)">
      <calculatedColumnFormula>IF(process[[#This Row],[Update Sales Amounts]],0,process[[#This Row],[Sales Amount (Expected) CZK]])</calculatedColumnFormula>
    </tableColumn>
    <tableColumn id="45" xr3:uid="{E1AC0020-E657-4245-9DAC-B8490D4C1008}" name=" Cost Amount (Expected)">
      <calculatedColumnFormula>IF(process[[#This Row],[Update Cost Amounts]],0,process[[#This Row],[Cost Amount (Expected) CZK]])</calculatedColumnFormula>
    </tableColumn>
    <tableColumn id="46" xr3:uid="{F3082C4E-8377-ED44-A9C3-8322C053F444}" name=" Cost Amount (Non-Invtbl.)">
      <calculatedColumnFormula>process[[#This Row],[ Cost Amount (Non-Invtbl.)]]</calculatedColumnFormula>
    </tableColumn>
    <tableColumn id="47" xr3:uid="{76AD9D62-CB80-9A44-81A8-F27EB97D91F2}" name=" Cost Amount (Expected) (ACY)">
      <calculatedColumnFormula>process[[#This Row],[Cost Amount (Expected) CORRECTED]]</calculatedColumnFormula>
    </tableColumn>
    <tableColumn id="48" xr3:uid="{3D0CC806-5915-9A4A-B93C-DFA3AB0AD57A}" name=" Cost Amount (Non-Invtbl.)(ACY)">
      <calculatedColumnFormula>process[[#This Row],[ Cost Amount (Non-Invtbl.)(ACY)]]</calculatedColumnFormula>
    </tableColumn>
    <tableColumn id="49" xr3:uid="{08FA0D73-D429-9042-892D-79B3F01C6D72}" name=" Expected Cost Posted to G/L">
      <calculatedColumnFormula>process[[#This Row],[ Expected Cost Posted to G/L]]</calculatedColumnFormula>
    </tableColumn>
    <tableColumn id="50" xr3:uid="{7E357C98-3FCF-CC49-AD34-B57493318A24}" name=" Exp. Cost Posted to G/L (ACY)">
      <calculatedColumnFormula>process[[#This Row],[ Exp. Cost Posted to G/L (ACY)]]</calculatedColumnFormula>
    </tableColumn>
    <tableColumn id="51" xr3:uid="{4721E9CC-EB70-9344-A46E-080A2D024DB7}" name=" Adjustment">
      <calculatedColumnFormula>process[[#This Row],[ Adjustment]]</calculatedColumnFormula>
    </tableColumn>
    <tableColumn id="52" xr3:uid="{BF25E0B5-56F7-2D46-80C4-7B1D2A7DF39D}" name=" Average Cost Exception">
      <calculatedColumnFormula>process[[#This Row],[ Average Cost Exception]]</calculatedColumnFormula>
    </tableColumn>
    <tableColumn id="53" xr3:uid="{B96E11A0-D45D-014E-8836-1C0FB7D0684A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D1BCFF-52F7-234A-AC6E-2FDA15E92F51}" name="buddy" displayName="buddy" ref="A1:BA2" totalsRowShown="0" headerRowDxfId="101" headerRowBorderDxfId="100" tableBorderDxfId="99">
  <autoFilter ref="A1:BA2" xr:uid="{C9D1BCFF-52F7-234A-AC6E-2FDA15E92F51}"/>
  <tableColumns count="53">
    <tableColumn id="1" xr3:uid="{F66EC4A2-F6F8-724A-AB02-EB1ACE129E82}" name="Entry No.">
      <calculatedColumnFormula>process[[#This Row],[Entry No.]]</calculatedColumnFormula>
    </tableColumn>
    <tableColumn id="2" xr3:uid="{2C95F30C-79A6-6848-AEC8-A8DB3B1F34BE}" name=" Item No.">
      <calculatedColumnFormula>process[[#This Row],[ Item No.]]</calculatedColumnFormula>
    </tableColumn>
    <tableColumn id="3" xr3:uid="{AA09E51A-94A0-3442-88D7-5233CEF74FC0}" name=" Posting Date">
      <calculatedColumnFormula>process[[#This Row],[ Posting Date]]</calculatedColumnFormula>
    </tableColumn>
    <tableColumn id="4" xr3:uid="{9B56494F-58EF-684D-B6E8-C35F9AFA1D23}" name=" Item Ledger Entry Type">
      <calculatedColumnFormula>_xlfn.CONCAT(IF(buddy[[#This Row],[ Valued Quantity]] &gt;= 0, "Negative", "Positive"), " Adjmt.")</calculatedColumnFormula>
    </tableColumn>
    <tableColumn id="5" xr3:uid="{12518377-D9AF-3640-955E-A79857832DFB}" name=" Source No." dataDxfId="98">
      <calculatedColumnFormula>process[[#This Row],[Updated Source No.]]</calculatedColumnFormula>
    </tableColumn>
    <tableColumn id="6" xr3:uid="{C95DAC68-614C-1847-B996-446484E3A0D0}" name=" Document No.">
      <calculatedColumnFormula>process[[#This Row],[ Document No.]]</calculatedColumnFormula>
    </tableColumn>
    <tableColumn id="7" xr3:uid="{327DE3C3-A43B-FA45-8FAE-021DE26B3C62}" name=" Description">
      <calculatedColumnFormula>process[[#This Row],[ Description]]</calculatedColumnFormula>
    </tableColumn>
    <tableColumn id="8" xr3:uid="{DC59AE86-EE53-B243-A273-18EEEEE57D36}" name=" Location Code">
      <calculatedColumnFormula>"Y-HISTORY"</calculatedColumnFormula>
    </tableColumn>
    <tableColumn id="9" xr3:uid="{63D1F6FD-72F3-FF42-888D-EFFF8A20A9C4}" name=" Inventory Posting Group">
      <calculatedColumnFormula>process[[#This Row],[ Inventory Posting Group]]</calculatedColumnFormula>
    </tableColumn>
    <tableColumn id="10" xr3:uid="{7753FA27-E321-3844-BB38-0CE69E0145AD}" name=" Source Posting Group">
      <calculatedColumnFormula>process[[#This Row],[ Source Posting Group]]</calculatedColumnFormula>
    </tableColumn>
    <tableColumn id="11" xr3:uid="{23F25817-AD7F-4142-8320-A2F344FAB72D}" name=" Item Ledger Entry No.">
      <calculatedColumnFormula>process[[#This Row],[Update ILE Entry No.]]</calculatedColumnFormula>
    </tableColumn>
    <tableColumn id="12" xr3:uid="{70DFCCB3-0E1F-414D-9A27-EAA30E3EE473}" name=" Valued Quantity">
      <calculatedColumnFormula>process[[#This Row],[ Valued Quantity]]*-1</calculatedColumnFormula>
    </tableColumn>
    <tableColumn id="13" xr3:uid="{4814E929-C572-5246-9044-4DDFCDAA266F}" name=" Item Ledger Entry Quantity">
      <calculatedColumnFormula>process[[#This Row],[ Item Ledger Entry Quantity]]*-1</calculatedColumnFormula>
    </tableColumn>
    <tableColumn id="14" xr3:uid="{827425F1-971A-2947-B207-2BC5B9AD1F9A}" name=" Invoiced Quantity">
      <calculatedColumnFormula>process[[#This Row],[ Invoiced Quantity]]*-1</calculatedColumnFormula>
    </tableColumn>
    <tableColumn id="15" xr3:uid="{770C9AA5-1E5C-374C-BBF0-FC858A1997DB}" name=" Cost per Unit">
      <calculatedColumnFormula>process[[#This Row],[ Cost per Unit]]</calculatedColumnFormula>
    </tableColumn>
    <tableColumn id="16" xr3:uid="{380CED49-104D-C843-9F88-2ABF0EB547EC}" name=" Sales Amount (Actual)"/>
    <tableColumn id="17" xr3:uid="{E9409D08-784B-974D-A1F6-12AF2524FDED}" name=" Salespers./Purch. Code">
      <calculatedColumnFormula>process[[#This Row],[ Salespers./Purch. Code]]</calculatedColumnFormula>
    </tableColumn>
    <tableColumn id="18" xr3:uid="{94524136-C0C6-2845-ABE3-131D6319E088}" name=" Discount Amount">
      <calculatedColumnFormula>IF(buddy[[#This Row],[ Sales Amount (Actual)]]=0,0,process[[#This Row],[Discount Amount CZK]])</calculatedColumnFormula>
    </tableColumn>
    <tableColumn id="19" xr3:uid="{E4161BB4-5F76-FC42-8921-9D3CFA104AD4}" name=" User ID">
      <calculatedColumnFormula>process[[#This Row],[ User ID]]</calculatedColumnFormula>
    </tableColumn>
    <tableColumn id="20" xr3:uid="{FB6FEED0-8922-EB41-BE17-2C85EAA3E1B6}" name=" Source Code">
      <calculatedColumnFormula>process[[#This Row],[ Source Code]]</calculatedColumnFormula>
    </tableColumn>
    <tableColumn id="21" xr3:uid="{6FB7386A-1444-6D48-915A-F247EA033718}" name=" Applies-to Entry">
      <calculatedColumnFormula>process[[#This Row],[ Applies-to Entry]]</calculatedColumnFormula>
    </tableColumn>
    <tableColumn id="22" xr3:uid="{2CB2FD43-DCA7-6D47-B337-5CD76CEA9F3F}" name=" Global Dimension 1 Code">
      <calculatedColumnFormula>" &amp; firstGlobalDimCode &amp; "</calculatedColumnFormula>
    </tableColumn>
    <tableColumn id="23" xr3:uid="{58DD4956-22EB-2A4B-A69B-49F0EAD72871}" name=" Global Dimension 2 Code">
      <calculatedColumnFormula>process[[#This Row],[ Global Dimension 2 Code]]</calculatedColumnFormula>
    </tableColumn>
    <tableColumn id="24" xr3:uid="{9D596B9C-B295-9140-BDCE-8ECB9D6929CF}" name=" Source Type">
      <calculatedColumnFormula>process[[#This Row],[ Source Type]]</calculatedColumnFormula>
    </tableColumn>
    <tableColumn id="25" xr3:uid="{00496DA6-61F4-6541-B3F9-1D1EA9F7CAFF}" name=" Cost Amount (Actual)">
      <calculatedColumnFormula>IF(process[[#This Row],[Update Cost Amounts]],process[[#This Row],[Cost Amount (Expected) CZK]],process[[#This Row],[Cost Amount (Actual) CZK]])*-1</calculatedColumnFormula>
    </tableColumn>
    <tableColumn id="26" xr3:uid="{9C5FCF42-3694-D145-9EF2-90F498D54076}" name=" Cost Posted to G/L">
      <calculatedColumnFormula>process[[#This Row],[ Cost Posted to G/L]]*-1</calculatedColumnFormula>
    </tableColumn>
    <tableColumn id="27" xr3:uid="{7C06534C-AE69-194F-BFD4-D7D06FAB9B2F}" name=" Drop Shipment">
      <calculatedColumnFormula>process[[#This Row],[ Drop Shipment]]</calculatedColumnFormula>
    </tableColumn>
    <tableColumn id="28" xr3:uid="{DF7C7570-223F-014C-9D77-2D6A01868725}" name=" Gen. Bus. Posting Group">
      <calculatedColumnFormula>process[[#This Row],[ Gen. Bus. Posting Group]]</calculatedColumnFormula>
    </tableColumn>
    <tableColumn id="29" xr3:uid="{418F9A7A-AB7B-BC4B-B35A-DC5468FABADE}" name=" Gen. Prod. Posting Group">
      <calculatedColumnFormula>process[[#This Row],[ Gen. Prod. Posting Group]]</calculatedColumnFormula>
    </tableColumn>
    <tableColumn id="30" xr3:uid="{9AF3012E-AD04-D842-BCE7-3CE63462383B}" name=" Document Date">
      <calculatedColumnFormula>process[[#This Row],[ Document Date]]</calculatedColumnFormula>
    </tableColumn>
    <tableColumn id="31" xr3:uid="{364E75AF-FF7C-8248-91DC-E8FA2A3A1001}" name=" Cost Amount (Actual) (ACY)">
      <calculatedColumnFormula>process[[#This Row],[Cost Amount (Actual) CORRECTED]]*-1</calculatedColumnFormula>
    </tableColumn>
    <tableColumn id="32" xr3:uid="{2E9D2E6C-FAF2-B943-8661-EE72542575DC}" name=" Cost Posted to G/L (ACY)">
      <calculatedColumnFormula>process[[#This Row],[ Cost Posted to G/L (ACY)]]</calculatedColumnFormula>
    </tableColumn>
    <tableColumn id="33" xr3:uid="{2A91BA99-CF30-1145-8A46-85C14CA62BCC}" name=" Cost per Unit (ACY)">
      <calculatedColumnFormula>process[[#This Row],[ Cost per Unit (ACY)]]</calculatedColumnFormula>
    </tableColumn>
    <tableColumn id="34" xr3:uid="{208BFE8C-F31F-1942-8663-289089BDA8A3}" name=" Document Type">
      <calculatedColumnFormula>process[[#This Row],[ Document Type]]</calculatedColumnFormula>
    </tableColumn>
    <tableColumn id="35" xr3:uid="{3484FA68-67A3-594A-AD93-B02724939BB9}" name=" Document Line No.">
      <calculatedColumnFormula>process[[#This Row],[ Document Line No.]]</calculatedColumnFormula>
    </tableColumn>
    <tableColumn id="36" xr3:uid="{42A2E010-E781-0D40-BB0D-889BB527E8F0}" name=" Expected Cost">
      <calculatedColumnFormula>process[[#This Row],[ Expected Cost]]</calculatedColumnFormula>
    </tableColumn>
    <tableColumn id="37" xr3:uid="{F6C80F4A-3279-EB4B-8329-B64D5BF6CA40}" name=" Valued By Average Cost">
      <calculatedColumnFormula>process[[#This Row],[ Valued By Average Cost]]</calculatedColumnFormula>
    </tableColumn>
    <tableColumn id="38" xr3:uid="{4ECDE5B3-73B5-8F48-BD79-82BB3DB7132A}" name=" Partial Revaluation">
      <calculatedColumnFormula>process[[#This Row],[ Partial Revaluation]]</calculatedColumnFormula>
    </tableColumn>
    <tableColumn id="39" xr3:uid="{395BA81F-04E9-8C47-AC94-7D6AA37BD947}" name=" Inventoriable">
      <calculatedColumnFormula>process[[#This Row],[ Inventoriable]]</calculatedColumnFormula>
    </tableColumn>
    <tableColumn id="40" xr3:uid="{7B2C63AF-F4E8-9347-A1DB-FC73200209FA}" name=" Valuation Date">
      <calculatedColumnFormula>process[[#This Row],[ Valuation Date]]</calculatedColumnFormula>
    </tableColumn>
    <tableColumn id="41" xr3:uid="{DB3C4F24-27DD-8643-AA62-8FA23C43F7B8}" name=" Entry Type">
      <calculatedColumnFormula>process[[#This Row],[ Entry Type]]</calculatedColumnFormula>
    </tableColumn>
    <tableColumn id="42" xr3:uid="{B50907AF-E9D4-E143-B188-7DCADC59628E}" name=" Purchase Amount (Actual)">
      <calculatedColumnFormula>process[[#This Row],[ Purchase Amount (Actual)]]</calculatedColumnFormula>
    </tableColumn>
    <tableColumn id="43" xr3:uid="{2764C16A-6034-9D4F-B711-234691B1A0A4}" name=" Purchase Amount (Expected)">
      <calculatedColumnFormula>process[[#This Row],[ Purchase Amount (Expected)]]</calculatedColumnFormula>
    </tableColumn>
    <tableColumn id="44" xr3:uid="{29E4FE48-A94A-FC43-8CBB-AE25B02126FF}" name=" Sales Amount (Expected)"/>
    <tableColumn id="45" xr3:uid="{44DE19CC-1A4C-6141-B414-1B4D69AB25AD}" name=" Cost Amount (Expected)">
      <calculatedColumnFormula>IF(process[[#This Row],[Update Cost Amounts]],0,process[[#This Row],[Cost Amount (Expected) CZK]])*-1</calculatedColumnFormula>
    </tableColumn>
    <tableColumn id="46" xr3:uid="{3B007D3A-D25A-FF40-B657-79072283605A}" name=" Cost Amount (Non-Invtbl.)">
      <calculatedColumnFormula>process[[#This Row],[ Cost Amount (Non-Invtbl.)]]</calculatedColumnFormula>
    </tableColumn>
    <tableColumn id="47" xr3:uid="{A5356422-6C78-5A4A-BC2C-B4D3A8D6E69C}" name=" Cost Amount (Expected) (ACY)">
      <calculatedColumnFormula>process[[#This Row],[Cost Amount (Expected) CORRECTED]]*-1</calculatedColumnFormula>
    </tableColumn>
    <tableColumn id="48" xr3:uid="{929D7963-D3AD-004D-B871-7C39377CFC67}" name=" Cost Amount (Non-Invtbl.)(ACY)">
      <calculatedColumnFormula>process[[#This Row],[ Cost Amount (Non-Invtbl.)(ACY)]]</calculatedColumnFormula>
    </tableColumn>
    <tableColumn id="49" xr3:uid="{03BE305F-83A5-8C4B-B10A-96446501832E}" name=" Expected Cost Posted to G/L">
      <calculatedColumnFormula>process[[#This Row],[ Expected Cost Posted to G/L]]</calculatedColumnFormula>
    </tableColumn>
    <tableColumn id="50" xr3:uid="{839FA019-6383-C648-8198-7282F6B54138}" name=" Exp. Cost Posted to G/L (ACY)">
      <calculatedColumnFormula>process[[#This Row],[ Exp. Cost Posted to G/L (ACY)]]</calculatedColumnFormula>
    </tableColumn>
    <tableColumn id="51" xr3:uid="{2FF2F0D0-928B-8348-ABAC-BCC988C64344}" name=" Adjustment">
      <calculatedColumnFormula>process[[#This Row],[ Adjustment]]</calculatedColumnFormula>
    </tableColumn>
    <tableColumn id="52" xr3:uid="{95C478E3-A5D5-7C4E-9C2B-1C58C72FFEC5}" name=" Average Cost Exception">
      <calculatedColumnFormula>process[[#This Row],[ Average Cost Exception]]</calculatedColumnFormula>
    </tableColumn>
    <tableColumn id="53" xr3:uid="{E1CB0BDE-07E9-734A-97BA-0DB3DF156236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47A51B-E48C-CC40-A826-3E11BB0AE18D}" name="process" displayName="process" ref="A1:CJ2" totalsRowShown="0" headerRowDxfId="97" dataDxfId="96">
  <autoFilter ref="A1:CJ2" xr:uid="{3C47A51B-E48C-CC40-A826-3E11BB0AE18D}"/>
  <tableColumns count="88">
    <tableColumn id="1" xr3:uid="{F28B7586-A04E-534A-A49F-AF308C425E6B}" name="Entry No." dataDxfId="95"/>
    <tableColumn id="2" xr3:uid="{D3A393E9-B622-814A-A45C-D8C9A8590849}" name=" Item No." dataDxfId="94"/>
    <tableColumn id="3" xr3:uid="{70E7E57A-2AC2-FD4D-8183-08DDCAC5747C}" name=" Posting Date" dataDxfId="93"/>
    <tableColumn id="4" xr3:uid="{79AA8849-77CB-9345-81F9-2E5A98A28257}" name=" Item Ledger Entry Type" dataDxfId="92"/>
    <tableColumn id="5" xr3:uid="{3B0BEFBD-E6A1-3E49-9521-99FE64E4BB1D}" name=" Source No." dataDxfId="91"/>
    <tableColumn id="6" xr3:uid="{CC933C1C-5BBE-384B-BC5D-0D1C011DFA6C}" name=" Document No." dataDxfId="90"/>
    <tableColumn id="7" xr3:uid="{6038C643-D89C-3F47-BD8E-CF37FB931080}" name=" Description" dataDxfId="89"/>
    <tableColumn id="8" xr3:uid="{BE94FB04-F336-CC46-8103-CBC1F5563271}" name=" Location Code" dataDxfId="88"/>
    <tableColumn id="9" xr3:uid="{7C6A155C-E164-F042-A173-91C08A40C4F7}" name=" Inventory Posting Group" dataDxfId="87"/>
    <tableColumn id="10" xr3:uid="{AD5D9037-7C0B-E84A-ABC0-20B2F62C8392}" name=" Source Posting Group" dataDxfId="86"/>
    <tableColumn id="11" xr3:uid="{38A88E70-CF02-2148-9A42-34E2378A3D7A}" name=" Item Ledger Entry No." dataDxfId="85"/>
    <tableColumn id="12" xr3:uid="{3AA2226A-621D-FA43-9C16-595B16D060B3}" name=" Valued Quantity" dataDxfId="84"/>
    <tableColumn id="13" xr3:uid="{0DA9AAAD-1707-6A42-9C31-085DE3F881B9}" name=" Item Ledger Entry Quantity" dataDxfId="83"/>
    <tableColumn id="14" xr3:uid="{0CF0505F-5BF2-8F47-87B1-DB6A6891B9AD}" name=" Invoiced Quantity" dataDxfId="82"/>
    <tableColumn id="15" xr3:uid="{9413667F-453A-DC40-9B2A-84BD2A15018B}" name=" Cost per Unit" dataDxfId="81"/>
    <tableColumn id="16" xr3:uid="{A021FC1F-6505-AB4E-9143-9D36A9731FDC}" name=" Sales Amount (Actual)" dataDxfId="80"/>
    <tableColumn id="17" xr3:uid="{07F733FF-5E24-EF48-8322-7BA4E0A6AFD0}" name=" Salespers./Purch. Code" dataDxfId="79"/>
    <tableColumn id="18" xr3:uid="{37153186-79B5-EB44-99A1-D86C59EF8708}" name=" Discount Amount" dataDxfId="78"/>
    <tableColumn id="19" xr3:uid="{FD8DF66C-C095-D443-8A76-BC9D52199562}" name=" User ID" dataDxfId="77"/>
    <tableColumn id="20" xr3:uid="{EB4AB444-BA9B-754F-A164-4ECF0DAA77B1}" name=" Source Code" dataDxfId="76"/>
    <tableColumn id="21" xr3:uid="{741C392D-DDE9-F948-A1E3-13F63A6FEA4D}" name=" Applies-to Entry" dataDxfId="75"/>
    <tableColumn id="22" xr3:uid="{5D9CF25E-67DD-7B4C-9A34-9866C805728F}" name=" Global Dimension 1 Code" dataDxfId="74"/>
    <tableColumn id="23" xr3:uid="{7CE7478B-B4CC-974E-9C48-264FFFB8CE72}" name=" Global Dimension 2 Code" dataDxfId="73"/>
    <tableColumn id="24" xr3:uid="{D643C189-4A8F-1448-904E-904C918A1B1D}" name=" Source Type" dataDxfId="72"/>
    <tableColumn id="25" xr3:uid="{92D20A4A-929B-954C-94B2-5E0754462689}" name=" Cost Amount (Actual)" dataDxfId="71"/>
    <tableColumn id="26" xr3:uid="{20DDB542-F1BA-954E-834F-6ED8F4E177C8}" name=" Cost Posted to G/L" dataDxfId="70"/>
    <tableColumn id="27" xr3:uid="{5C69726C-70B7-214D-AB9C-67FC85296686}" name=" Reason Code" dataDxfId="69"/>
    <tableColumn id="28" xr3:uid="{EA21939D-F3BF-514D-AA8C-33344840DD1B}" name=" Drop Shipment" dataDxfId="68"/>
    <tableColumn id="29" xr3:uid="{51196011-187A-8B46-88D2-AE3DF714933F}" name=" Journal Batch Name" dataDxfId="67"/>
    <tableColumn id="30" xr3:uid="{64F5C7DB-028C-DB4A-AFA5-88D95018EA5D}" name=" Gen. Bus. Posting Group" dataDxfId="66"/>
    <tableColumn id="31" xr3:uid="{86462854-6715-1B43-85E8-52822C2D15A5}" name=" Gen. Prod. Posting Group" dataDxfId="65"/>
    <tableColumn id="32" xr3:uid="{6663FAB2-D73D-6547-ABB4-EE04C8611A2F}" name=" Document Date" dataDxfId="64"/>
    <tableColumn id="33" xr3:uid="{F5C8D05D-0F4F-7D4C-A77A-5FFC5F8B5A63}" name=" External Document No." dataDxfId="63"/>
    <tableColumn id="34" xr3:uid="{B490C008-C40A-6E48-A7CD-2CE8DA77A2AC}" name=" Cost Amount (Actual) (ACY)" dataDxfId="62"/>
    <tableColumn id="35" xr3:uid="{512F29CA-D93E-B149-AE2B-6AE708D05193}" name=" Cost Posted to G/L (ACY)" dataDxfId="61"/>
    <tableColumn id="36" xr3:uid="{6789B78E-3024-BE48-9859-9489AA903EA1}" name=" Cost per Unit (ACY)" dataDxfId="60"/>
    <tableColumn id="37" xr3:uid="{695E86D0-7CED-CC4C-9964-049C058DC657}" name=" Document Type" dataDxfId="59"/>
    <tableColumn id="38" xr3:uid="{FFA5D733-DE35-7E46-82AE-B0B0AEFA087A}" name=" Document Line No." dataDxfId="58"/>
    <tableColumn id="39" xr3:uid="{222B71B3-ECF1-364F-9825-31EDDDF06A67}" name=" Expected Cost" dataDxfId="57"/>
    <tableColumn id="40" xr3:uid="{F2685B6A-226E-9B40-B199-D489B3118531}" name=" Item Charge No." dataDxfId="56"/>
    <tableColumn id="41" xr3:uid="{99072310-923B-794E-A9F4-01153354F081}" name=" Valued By Average Cost" dataDxfId="55"/>
    <tableColumn id="42" xr3:uid="{12D71157-F827-774D-A7CF-FA390F5C3C13}" name=" Partial Revaluation" dataDxfId="54"/>
    <tableColumn id="43" xr3:uid="{6F2EFCA8-22AC-294D-B593-71E19143BD28}" name=" Inventoriable" dataDxfId="53"/>
    <tableColumn id="44" xr3:uid="{A9D342EF-FF7D-E746-8C33-55251AAEE312}" name=" Valuation Date" dataDxfId="52"/>
    <tableColumn id="45" xr3:uid="{E3631ECF-5178-764A-8306-DDE15B73B485}" name=" Entry Type" dataDxfId="51"/>
    <tableColumn id="46" xr3:uid="{9FD81571-0F7A-F342-80F7-C45038D5C1D4}" name=" Variance Type" dataDxfId="50"/>
    <tableColumn id="47" xr3:uid="{DB416D27-1D20-2C41-964C-AAFA4525E316}" name=" Purchase Amount (Actual)" dataDxfId="49"/>
    <tableColumn id="48" xr3:uid="{7B3D9323-B39E-D447-961C-22DAE89556C0}" name=" Purchase Amount (Expected)" dataDxfId="48"/>
    <tableColumn id="49" xr3:uid="{D7CB75E3-3636-FD4F-AE91-00C5FB2169C8}" name=" Sales Amount (Expected)" dataDxfId="47"/>
    <tableColumn id="50" xr3:uid="{4174C62C-0211-104C-849D-54CCF0A92CE9}" name=" Cost Amount (Expected)" dataDxfId="46"/>
    <tableColumn id="51" xr3:uid="{799CD3FD-69DD-BD4C-BCC5-D9DFC4425C6E}" name=" Cost Amount (Non-Invtbl.)" dataDxfId="45"/>
    <tableColumn id="52" xr3:uid="{502CEA51-99DE-6149-BD6C-E9EE383AA12A}" name=" Cost Amount (Expected) (ACY)" dataDxfId="44"/>
    <tableColumn id="53" xr3:uid="{C9EF2284-33AD-FD47-ABD4-9C0373ACE7D4}" name=" Cost Amount (Non-Invtbl.)(ACY)" dataDxfId="43"/>
    <tableColumn id="54" xr3:uid="{83333DF6-D260-024D-A5FF-56E391FAD370}" name=" Expected Cost Posted to G/L" dataDxfId="42"/>
    <tableColumn id="55" xr3:uid="{C4ABB9E6-14D9-4A42-B311-2BB97D1F6DD5}" name=" Exp. Cost Posted to G/L (ACY)" dataDxfId="41"/>
    <tableColumn id="56" xr3:uid="{A6490093-8A45-F84A-86E1-51EA9FC6A8E7}" name=" Job No." dataDxfId="40"/>
    <tableColumn id="57" xr3:uid="{90390A30-D76F-E44E-AC93-057BF0DC014A}" name=" Job Task No." dataDxfId="39"/>
    <tableColumn id="58" xr3:uid="{DCC73505-993F-2A4E-B4EB-84050CA8F0F1}" name=" Prod. Order No." dataDxfId="38"/>
    <tableColumn id="59" xr3:uid="{8A949596-840E-7B42-A531-EA5D43279816}" name=" Variant Code" dataDxfId="37"/>
    <tableColumn id="60" xr3:uid="{BF1A84C5-C6D8-6249-BEFC-1D8F57A5121F}" name=" Adjustment" dataDxfId="36"/>
    <tableColumn id="61" xr3:uid="{CBC0921F-AF8B-B744-9919-E5475E3CEF11}" name=" Average Cost Exception" dataDxfId="35"/>
    <tableColumn id="62" xr3:uid="{0DA34340-D784-6A46-A1D2-EFDF0AB8F2F2}" name=" Capacity Ledger Entry No." dataDxfId="34"/>
    <tableColumn id="63" xr3:uid="{6965ABE3-296C-804B-B049-BB3758605FE5}" name=" Type" dataDxfId="33"/>
    <tableColumn id="64" xr3:uid="{0DD19966-DF20-844D-8E6E-2C7A5A3C528E}" name=" No." dataDxfId="32"/>
    <tableColumn id="65" xr3:uid="{1FE78482-C66F-384D-856A-13BF86454FE8}" name=" Prod. Order Line No." dataDxfId="31"/>
    <tableColumn id="66" xr3:uid="{5BC6F673-8E38-A943-A1CD-C438CE72963A}" name=" Return Reason Code" dataDxfId="30"/>
    <tableColumn id="67" xr3:uid="{DA3974FD-F151-2643-8219-E9EFA1A95AFD}" name=" Item Category Code" dataDxfId="29"/>
    <tableColumn id="68" xr3:uid="{48F7EDAF-1C00-C240-AA84-CF5027CD4F17}" name=" Product Group Code" dataDxfId="28"/>
    <tableColumn id="69" xr3:uid="{6501E0FC-19AB-2A4C-BBA5-776A7A331C45}" name=" Surcharge" dataDxfId="27"/>
    <tableColumn id="70" xr3:uid="{048E8C28-F908-224A-A082-C7DFD1A0A7B2}" name=" G/L Account No." dataDxfId="26"/>
    <tableColumn id="71" xr3:uid="{2FF93723-DBDA-D844-8887-5E1ABC9778F3}" name=" fBlnTransMainEntry" dataDxfId="25"/>
    <tableColumn id="72" xr3:uid="{B784BBAD-F91B-E441-8A9B-1970B800C970}" name=" fBlnMainEntry" dataDxfId="24"/>
    <tableColumn id="73" xr3:uid="{C4518CA7-3621-E24F-8CC7-2C507732258D}" name=" IC-Unit Cost" dataDxfId="23"/>
    <tableColumn id="74" xr3:uid="{2051AFF3-8AEB-7B4A-88CD-04438B8CC291}" name="Exchange Rate" dataDxfId="22">
      <calculatedColumnFormula>_xlfn.XLOOKUP(process[[#This Row],[ Posting Date]],Table3[Date],Table3[Exchange Rate], , -1)</calculatedColumnFormula>
    </tableColumn>
    <tableColumn id="75" xr3:uid="{BE65377A-86BB-9344-B67F-315FCB55C905}" name="Sales Amount (Actual) CORRECTED" dataDxfId="21">
      <calculatedColumnFormula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calculatedColumnFormula>
    </tableColumn>
    <tableColumn id="80" xr3:uid="{80068656-7397-A64D-8CB6-710C9B797AA7}" name="Sales Amount (Actual) CZK" dataDxfId="20">
      <calculatedColumnFormula>process[[#This Row],[Exchange Rate]]*process[[#This Row],[Sales Amount (Actual) CORRECTED]]</calculatedColumnFormula>
    </tableColumn>
    <tableColumn id="76" xr3:uid="{E0B96102-B98C-A847-9D1F-BD7EBF18BC70}" name="Sales Amount (Expected) CORRECTED" dataDxfId="19">
      <calculatedColumnFormula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calculatedColumnFormula>
    </tableColumn>
    <tableColumn id="81" xr3:uid="{F1DC8488-E6BB-7442-8C56-77ED65185044}" name="Sales Amount (Expected) CZK" dataDxfId="18">
      <calculatedColumnFormula>process[[#This Row],[Exchange Rate]]*process[[#This Row],[Sales Amount (Expected) CORRECTED]]</calculatedColumnFormula>
    </tableColumn>
    <tableColumn id="77" xr3:uid="{84E494D3-A6E7-AB4D-8599-0B38AAFD5504}" name="Cost Amount (Actual) CORRECTED" dataDxfId="17">
      <calculatedColumnFormula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calculatedColumnFormula>
    </tableColumn>
    <tableColumn id="82" xr3:uid="{A750BE48-8499-D648-8B77-125A2B6A3960}" name="Cost Amount (Actual) CZK" dataDxfId="16">
      <calculatedColumnFormula>process[[#This Row],[Exchange Rate]]*process[[#This Row],[Cost Amount (Actual) CORRECTED]]</calculatedColumnFormula>
    </tableColumn>
    <tableColumn id="78" xr3:uid="{13B45838-1B45-F44A-82CB-795FA1A7BF29}" name="Cost Amount (Expected) CORRECTED" dataDxfId="15">
      <calculatedColumnFormula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calculatedColumnFormula>
    </tableColumn>
    <tableColumn id="83" xr3:uid="{62CA92DF-042E-C548-BEE2-6FD1BA7D0FC6}" name="Cost Amount (Expected) CZK" dataDxfId="14">
      <calculatedColumnFormula>process[[#This Row],[Exchange Rate]]*process[[#This Row],[Cost Amount (Expected) CORRECTED]]</calculatedColumnFormula>
    </tableColumn>
    <tableColumn id="79" xr3:uid="{00D89093-F815-BF48-8BCB-0772F2902DB9}" name="Discount Amount CORRECTED" dataDxfId="13">
      <calculatedColumnFormula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calculatedColumnFormula>
    </tableColumn>
    <tableColumn id="84" xr3:uid="{04CEE025-5C5B-634E-B92D-3EA2C0A70D8E}" name="Discount Amount CZK" dataDxfId="12">
      <calculatedColumnFormula>process[[#This Row],[Exchange Rate]]*process[[#This Row],[Discount Amount CORRECTED]]</calculatedColumnFormula>
    </tableColumn>
    <tableColumn id="85" xr3:uid="{CC3C0D28-DDE5-8F44-9E48-E10B29F5E760}" name="Update Sales Amounts" dataDxfId="11">
      <calculatedColumnFormula>AND(process[[#This Row],[Sales Amount (Actual) CZK]]=0,NOT(process[[#This Row],[Sales Amount (Expected) CZK]]=0))</calculatedColumnFormula>
    </tableColumn>
    <tableColumn id="86" xr3:uid="{143C9E21-27BF-4841-8C2D-85983E2E377A}" name="Update Cost Amounts" dataDxfId="10">
      <calculatedColumnFormula>AND(process[[#This Row],[Cost Amount (Actual) CZK]]=0,NOT(process[[#This Row],[Cost Amount (Expected) CZK]]=0))</calculatedColumnFormula>
    </tableColumn>
    <tableColumn id="87" xr3:uid="{C00FB4F9-237B-1443-96ED-E14F511CE295}" name="Update ILE Entry No." dataDxfId="9">
      <calculatedColumnFormula>_xlfn.XLOOKUP(process[[#This Row],[ Item Ledger Entry No.]],ILEEntryNoMap[ORIGINAL],ILEEntryNoMap[NEW])</calculatedColumnFormula>
    </tableColumn>
    <tableColumn id="88" xr3:uid="{610B288E-3DE8-534E-BFCE-C86AD7B91CC3}" name="Updated Source No." dataDxfId="8">
      <calculatedColumnFormula>_xlfn.XLOOKUP(_xlfn.VALUETOTEXT(process[[#This Row],[ Source No.]]),customerMap[Customer ID (NAV5)],customerMap[Customer ID (NAV17)],process[[#This Row],[ Source No.]],0)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2C640-2F20-C54A-9ABE-84FA8FABBBFB}" name="Table3" displayName="Table3" ref="A1:B250" totalsRowShown="0" headerRowDxfId="7" dataDxfId="5" headerRowBorderDxfId="6" tableBorderDxfId="4" totalsRowBorderDxfId="3">
  <autoFilter ref="A1:B250" xr:uid="{3552C640-2F20-C54A-9ABE-84FA8FABBBFB}"/>
  <tableColumns count="2">
    <tableColumn id="1" xr3:uid="{CEF3A5A6-8422-5541-8B95-FE1B9574EFBD}" name="Date" dataDxfId="2"/>
    <tableColumn id="2" xr3:uid="{74128074-0A21-764C-812F-3F625D474682}" name="Exchange Rate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928C97F-9EC9-FB4D-9812-DFE2CA4CEC72}" name="customerMap" displayName="customerMap" ref="A1:C30" totalsRowShown="0">
  <autoFilter ref="A1:C30" xr:uid="{A10DF724-9923-4648-BAE7-CA40F75DF862}"/>
  <tableColumns count="3">
    <tableColumn id="1" xr3:uid="{379E3E8C-C8C7-D54E-BE3B-24D302B0ED18}" name="Customer ID (NAV5)" dataDxfId="0"/>
    <tableColumn id="2" xr3:uid="{104A437F-5FE6-BE4F-8E4A-D6190C5EE624}" name="Customer ID (NAV17)"/>
    <tableColumn id="3" xr3:uid="{B1638FE0-BCD8-424C-922F-49B4310AD727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6"/>
  <sheetViews>
    <sheetView tabSelected="1" workbookViewId="0"/>
  </sheetViews>
  <sheetFormatPr baseColWidth="10" defaultRowHeight="16" x14ac:dyDescent="0.2"/>
  <cols>
    <col min="1" max="1" width="10.83203125" style="14" customWidth="1"/>
    <col min="2" max="2" width="10.83203125" customWidth="1"/>
  </cols>
  <sheetData>
    <row r="6" spans="4:11" ht="16" customHeight="1" x14ac:dyDescent="0.2">
      <c r="E6" s="4"/>
      <c r="F6" s="4"/>
      <c r="G6" s="4"/>
      <c r="H6" s="4"/>
      <c r="I6" s="4"/>
    </row>
    <row r="7" spans="4:11" ht="16" customHeight="1" thickBot="1" x14ac:dyDescent="0.25">
      <c r="D7" s="4"/>
      <c r="E7" s="4"/>
      <c r="F7" s="4"/>
      <c r="G7" s="4"/>
      <c r="H7" s="4"/>
      <c r="I7" s="4"/>
    </row>
    <row r="8" spans="4:11" ht="16" customHeight="1" x14ac:dyDescent="0.2">
      <c r="D8" s="26" t="s">
        <v>73</v>
      </c>
      <c r="E8" s="27"/>
      <c r="F8" s="27"/>
      <c r="G8" s="27"/>
      <c r="H8" s="27"/>
      <c r="I8" s="27"/>
      <c r="J8" s="27"/>
      <c r="K8" s="28"/>
    </row>
    <row r="9" spans="4:11" ht="16" customHeight="1" x14ac:dyDescent="0.2">
      <c r="D9" s="29"/>
      <c r="E9" s="30"/>
      <c r="F9" s="30"/>
      <c r="G9" s="30"/>
      <c r="H9" s="30"/>
      <c r="I9" s="30"/>
      <c r="J9" s="30"/>
      <c r="K9" s="31"/>
    </row>
    <row r="10" spans="4:11" ht="17" customHeight="1" x14ac:dyDescent="0.2">
      <c r="D10" s="29"/>
      <c r="E10" s="30"/>
      <c r="F10" s="30"/>
      <c r="G10" s="30"/>
      <c r="H10" s="30"/>
      <c r="I10" s="30"/>
      <c r="J10" s="30"/>
      <c r="K10" s="31"/>
    </row>
    <row r="11" spans="4:11" ht="16" customHeight="1" thickBot="1" x14ac:dyDescent="0.25">
      <c r="D11" s="32"/>
      <c r="E11" s="33"/>
      <c r="F11" s="33"/>
      <c r="G11" s="33"/>
      <c r="H11" s="33"/>
      <c r="I11" s="33"/>
      <c r="J11" s="33"/>
      <c r="K11" s="34"/>
    </row>
    <row r="12" spans="4:11" ht="16" customHeight="1" thickBot="1" x14ac:dyDescent="0.25">
      <c r="D12" s="4"/>
      <c r="E12" s="4"/>
      <c r="F12" s="4"/>
      <c r="G12" s="4"/>
      <c r="H12" s="4"/>
      <c r="I12" s="4"/>
    </row>
    <row r="13" spans="4:11" ht="16" customHeight="1" x14ac:dyDescent="0.2">
      <c r="D13" s="17" t="s">
        <v>74</v>
      </c>
      <c r="E13" s="18"/>
      <c r="F13" s="18"/>
      <c r="G13" s="18"/>
      <c r="H13" s="18"/>
      <c r="I13" s="18"/>
      <c r="J13" s="18"/>
      <c r="K13" s="19"/>
    </row>
    <row r="14" spans="4:11" ht="16" customHeight="1" x14ac:dyDescent="0.2">
      <c r="D14" s="20"/>
      <c r="E14" s="21"/>
      <c r="F14" s="21"/>
      <c r="G14" s="21"/>
      <c r="H14" s="21"/>
      <c r="I14" s="21"/>
      <c r="J14" s="21"/>
      <c r="K14" s="22"/>
    </row>
    <row r="15" spans="4:11" ht="16" customHeight="1" x14ac:dyDescent="0.2">
      <c r="D15" s="20"/>
      <c r="E15" s="21"/>
      <c r="F15" s="21"/>
      <c r="G15" s="21"/>
      <c r="H15" s="21"/>
      <c r="I15" s="21"/>
      <c r="J15" s="21"/>
      <c r="K15" s="22"/>
    </row>
    <row r="16" spans="4:11" ht="16" customHeight="1" thickBot="1" x14ac:dyDescent="0.25">
      <c r="D16" s="23"/>
      <c r="E16" s="24"/>
      <c r="F16" s="24"/>
      <c r="G16" s="24"/>
      <c r="H16" s="24"/>
      <c r="I16" s="24"/>
      <c r="J16" s="24"/>
      <c r="K16" s="25"/>
    </row>
    <row r="17" spans="4:11" ht="16" customHeight="1" thickBot="1" x14ac:dyDescent="0.25">
      <c r="D17" s="4"/>
      <c r="E17" s="4"/>
      <c r="F17" s="4"/>
      <c r="G17" s="4"/>
      <c r="H17" s="4"/>
      <c r="I17" s="4"/>
    </row>
    <row r="18" spans="4:11" ht="16" customHeight="1" x14ac:dyDescent="0.2">
      <c r="D18" s="17" t="s">
        <v>75</v>
      </c>
      <c r="E18" s="18"/>
      <c r="F18" s="18"/>
      <c r="G18" s="18"/>
      <c r="H18" s="18"/>
      <c r="I18" s="18"/>
      <c r="J18" s="18"/>
      <c r="K18" s="19"/>
    </row>
    <row r="19" spans="4:11" ht="16" customHeight="1" x14ac:dyDescent="0.2">
      <c r="D19" s="20"/>
      <c r="E19" s="21"/>
      <c r="F19" s="21"/>
      <c r="G19" s="21"/>
      <c r="H19" s="21"/>
      <c r="I19" s="21"/>
      <c r="J19" s="21"/>
      <c r="K19" s="22"/>
    </row>
    <row r="20" spans="4:11" ht="16" customHeight="1" x14ac:dyDescent="0.2">
      <c r="D20" s="20"/>
      <c r="E20" s="21"/>
      <c r="F20" s="21"/>
      <c r="G20" s="21"/>
      <c r="H20" s="21"/>
      <c r="I20" s="21"/>
      <c r="J20" s="21"/>
      <c r="K20" s="22"/>
    </row>
    <row r="21" spans="4:11" ht="16" customHeight="1" thickBot="1" x14ac:dyDescent="0.25">
      <c r="D21" s="23"/>
      <c r="E21" s="24"/>
      <c r="F21" s="24"/>
      <c r="G21" s="24"/>
      <c r="H21" s="24"/>
      <c r="I21" s="24"/>
      <c r="J21" s="24"/>
      <c r="K21" s="25"/>
    </row>
    <row r="22" spans="4:11" ht="16" customHeight="1" thickBot="1" x14ac:dyDescent="0.25">
      <c r="D22" s="4"/>
      <c r="E22" s="4"/>
      <c r="F22" s="4"/>
      <c r="G22" s="4"/>
      <c r="H22" s="4"/>
      <c r="I22" s="4"/>
    </row>
    <row r="23" spans="4:11" x14ac:dyDescent="0.2">
      <c r="D23" s="17" t="s">
        <v>93</v>
      </c>
      <c r="E23" s="18"/>
      <c r="F23" s="18"/>
      <c r="G23" s="18"/>
      <c r="H23" s="18"/>
      <c r="I23" s="18"/>
      <c r="J23" s="18"/>
      <c r="K23" s="19"/>
    </row>
    <row r="24" spans="4:11" x14ac:dyDescent="0.2">
      <c r="D24" s="20"/>
      <c r="E24" s="21"/>
      <c r="F24" s="21"/>
      <c r="G24" s="21"/>
      <c r="H24" s="21"/>
      <c r="I24" s="21"/>
      <c r="J24" s="21"/>
      <c r="K24" s="22"/>
    </row>
    <row r="25" spans="4:11" x14ac:dyDescent="0.2">
      <c r="D25" s="20"/>
      <c r="E25" s="21"/>
      <c r="F25" s="21"/>
      <c r="G25" s="21"/>
      <c r="H25" s="21"/>
      <c r="I25" s="21"/>
      <c r="J25" s="21"/>
      <c r="K25" s="22"/>
    </row>
    <row r="26" spans="4:11" ht="17" thickBot="1" x14ac:dyDescent="0.25">
      <c r="D26" s="23"/>
      <c r="E26" s="24"/>
      <c r="F26" s="24"/>
      <c r="G26" s="24"/>
      <c r="H26" s="24"/>
      <c r="I26" s="24"/>
      <c r="J26" s="24"/>
      <c r="K26" s="25"/>
    </row>
  </sheetData>
  <mergeCells count="4">
    <mergeCell ref="D13:K16"/>
    <mergeCell ref="D8:K11"/>
    <mergeCell ref="D18:K21"/>
    <mergeCell ref="D23:K26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D5D8-0E60-4345-90E6-10F0BE3DDD90}">
  <sheetPr codeName="Sheet9">
    <tabColor rgb="FF00B05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BA1"/>
  <sheetViews>
    <sheetView workbookViewId="0">
      <selection activeCell="A2" sqref="A2"/>
    </sheetView>
  </sheetViews>
  <sheetFormatPr baseColWidth="10" defaultRowHeight="16" x14ac:dyDescent="0.2"/>
  <cols>
    <col min="3" max="3" width="14.5" style="5" customWidth="1"/>
    <col min="4" max="4" width="22.1640625" customWidth="1"/>
    <col min="5" max="5" width="12.6640625" customWidth="1"/>
    <col min="6" max="6" width="15.6640625" customWidth="1"/>
    <col min="7" max="7" width="13.5" customWidth="1"/>
    <col min="8" max="8" width="15.6640625" customWidth="1"/>
    <col min="9" max="9" width="23.33203125" customWidth="1"/>
    <col min="10" max="10" width="21.5" customWidth="1"/>
    <col min="11" max="11" width="21.33203125" customWidth="1"/>
    <col min="12" max="12" width="16.83203125" customWidth="1"/>
    <col min="13" max="13" width="25.5" customWidth="1"/>
    <col min="14" max="14" width="18" customWidth="1"/>
    <col min="15" max="15" width="14.5" customWidth="1"/>
    <col min="16" max="16" width="22.1640625" customWidth="1"/>
    <col min="17" max="17" width="23.1640625" customWidth="1"/>
    <col min="18" max="18" width="18.1640625" customWidth="1"/>
    <col min="20" max="20" width="14.1640625" customWidth="1"/>
    <col min="21" max="21" width="16.83203125" customWidth="1"/>
    <col min="22" max="23" width="24.5" customWidth="1"/>
    <col min="24" max="24" width="13.5" customWidth="1"/>
    <col min="25" max="25" width="21.6640625" customWidth="1"/>
    <col min="26" max="26" width="19.33203125" customWidth="1"/>
    <col min="27" max="27" width="16" customWidth="1"/>
    <col min="28" max="28" width="23.6640625" customWidth="1"/>
    <col min="29" max="29" width="24.33203125" customWidth="1"/>
    <col min="30" max="30" width="16.83203125" style="5" customWidth="1"/>
    <col min="31" max="31" width="26.83203125" customWidth="1"/>
    <col min="32" max="32" width="24.5" customWidth="1"/>
    <col min="33" max="33" width="19.6640625" customWidth="1"/>
    <col min="34" max="34" width="16.5" customWidth="1"/>
    <col min="35" max="35" width="19.5" customWidth="1"/>
    <col min="36" max="36" width="15.6640625" customWidth="1"/>
    <col min="37" max="37" width="23.1640625" customWidth="1"/>
    <col min="38" max="38" width="19.33203125" customWidth="1"/>
    <col min="39" max="39" width="14.5" customWidth="1"/>
    <col min="40" max="40" width="16" style="5" customWidth="1"/>
    <col min="41" max="41" width="12" customWidth="1"/>
    <col min="42" max="42" width="25.5" customWidth="1"/>
    <col min="43" max="43" width="27.6640625" customWidth="1"/>
    <col min="44" max="44" width="24.33203125" customWidth="1"/>
    <col min="45" max="45" width="23.83203125" customWidth="1"/>
    <col min="46" max="46" width="25.33203125" customWidth="1"/>
    <col min="47" max="47" width="29" customWidth="1"/>
    <col min="48" max="48" width="30.1640625" customWidth="1"/>
    <col min="49" max="49" width="27.1640625" customWidth="1"/>
    <col min="50" max="50" width="28.1640625" customWidth="1"/>
    <col min="51" max="51" width="13.5" customWidth="1"/>
    <col min="52" max="52" width="23.1640625" customWidth="1"/>
  </cols>
  <sheetData>
    <row r="1" spans="1:53" x14ac:dyDescent="0.2">
      <c r="A1" s="1" t="s">
        <v>0</v>
      </c>
      <c r="B1" s="2" t="s">
        <v>1</v>
      </c>
      <c r="C1" s="15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15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15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sqref="A1:B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BA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>
        <f>process[[#This Row],[ Item Ledger Entry Type]]</f>
        <v>0</v>
      </c>
      <c r="E2">
        <f>process[[#This Row],[Updated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</f>
        <v>0</v>
      </c>
      <c r="M2">
        <f>process[[#This Row],[ Item Ledger Entry Quantity]]</f>
        <v>0</v>
      </c>
      <c r="N2">
        <f>process[[#This Row],[ Invoiced Quantity]]</f>
        <v>0</v>
      </c>
      <c r="O2">
        <f>process[[#This Row],[ Cost per Unit]]</f>
        <v>0</v>
      </c>
      <c r="P2">
        <f>IF(process[[#This Row],[Update Sales Amounts]],process[[#This Row],[Sales Amount (Expected) CZK]],process[[#This Row],[Sales Amount (Actual) CZK]])</f>
        <v>0</v>
      </c>
      <c r="Q2">
        <f>process[[#This Row],[ Salespers./Purch. Code]]</f>
        <v>0</v>
      </c>
      <c r="R2">
        <f>IF(lines[[#This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</f>
        <v>0</v>
      </c>
      <c r="Z2">
        <f>process[[#This Row],[ Cost Posted to G/L]]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f>IF(process[[#This Row],[Update Sales Amounts]],0,process[[#This Row],[Sales Amount (Expected) CZK]])</f>
        <v>0</v>
      </c>
      <c r="AS2">
        <f>IF(process[[#This Row],[Update Cost Amounts]],0,process[[#This Row],[Cost Amount (Expected) CZK]])</f>
        <v>0</v>
      </c>
      <c r="AT2">
        <f>process[[#This Row],[ Cost Amount (Non-Invtbl.)]]</f>
        <v>0</v>
      </c>
      <c r="AU2">
        <f>process[[#This Row],[Cost Amount (Expected) CORRECTED]]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BA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  <col min="54" max="54" width="27.1640625" customWidth="1"/>
    <col min="55" max="55" width="28.1640625" customWidth="1"/>
    <col min="57" max="57" width="13.83203125" customWidth="1"/>
    <col min="58" max="58" width="16.33203125" customWidth="1"/>
    <col min="59" max="59" width="14.5" customWidth="1"/>
    <col min="60" max="60" width="13.5" customWidth="1"/>
    <col min="61" max="61" width="23.1640625" customWidth="1"/>
    <col min="62" max="62" width="24.83203125" customWidth="1"/>
    <col min="65" max="65" width="20.1640625" customWidth="1"/>
    <col min="66" max="66" width="20.5" customWidth="1"/>
    <col min="67" max="67" width="20.1640625" customWidth="1"/>
    <col min="68" max="68" width="20.33203125" customWidth="1"/>
    <col min="69" max="69" width="12.1640625" customWidth="1"/>
    <col min="70" max="70" width="17.1640625" customWidth="1"/>
    <col min="71" max="71" width="19.83203125" customWidth="1"/>
    <col min="72" max="72" width="15.33203125" customWidth="1"/>
    <col min="73" max="73" width="14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 t="str">
        <f>_xlfn.CONCAT(IF(buddy[[#This Row],[ Valued Quantity]] &gt;= 0, "Negative", "Positive"), " Adjmt.")</f>
        <v>Negative Adjmt.</v>
      </c>
      <c r="E2">
        <f>process[[#This Row],[Updated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Quantity]]*-1</f>
        <v>0</v>
      </c>
      <c r="M2">
        <f>process[[#This Row],[ Item Ledger Entry Quantity]]*-1</f>
        <v>0</v>
      </c>
      <c r="N2">
        <f>process[[#This Row],[ Invoiced Quantity]]*-1</f>
        <v>0</v>
      </c>
      <c r="O2">
        <f>process[[#This Row],[ Cost per Unit]]</f>
        <v>0</v>
      </c>
      <c r="P2">
        <v>0</v>
      </c>
      <c r="Q2">
        <f>process[[#This Row],[ Salespers./Purch. Code]]</f>
        <v>0</v>
      </c>
      <c r="R2">
        <f>IF(buddy[[#This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CZK]])*-1</f>
        <v>0</v>
      </c>
      <c r="Z2">
        <f>process[[#This Row],[ Cost Posted to G/L]]*-1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CORRECTED]]*-1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v>0</v>
      </c>
      <c r="AS2">
        <f>IF(process[[#This Row],[Update Cost Amounts]],0,process[[#This Row],[Cost Amount (Expected) CZK]])*-1</f>
        <v>0</v>
      </c>
      <c r="AT2">
        <f>process[[#This Row],[ Cost Amount (Non-Invtbl.)]]</f>
        <v>0</v>
      </c>
      <c r="AU2">
        <f>process[[#This Row],[Cost Amount (Expected) CORRECTED]]*-1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CJ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4.83203125" bestFit="1" customWidth="1"/>
    <col min="28" max="28" width="16.1640625" bestFit="1" customWidth="1"/>
    <col min="29" max="29" width="20.5" bestFit="1" customWidth="1"/>
    <col min="30" max="30" width="24.1640625" bestFit="1" customWidth="1"/>
    <col min="31" max="31" width="24.83203125" bestFit="1" customWidth="1"/>
    <col min="32" max="32" width="17" bestFit="1" customWidth="1"/>
    <col min="33" max="33" width="23" bestFit="1" customWidth="1"/>
    <col min="34" max="34" width="27.33203125" bestFit="1" customWidth="1"/>
    <col min="35" max="35" width="25" bestFit="1" customWidth="1"/>
    <col min="36" max="36" width="20" bestFit="1" customWidth="1"/>
    <col min="37" max="37" width="16.6640625" bestFit="1" customWidth="1"/>
    <col min="38" max="38" width="19.83203125" bestFit="1" customWidth="1"/>
    <col min="39" max="39" width="15.83203125" bestFit="1" customWidth="1"/>
    <col min="40" max="40" width="17.33203125" bestFit="1" customWidth="1"/>
    <col min="41" max="41" width="23.5" bestFit="1" customWidth="1"/>
    <col min="42" max="42" width="19.6640625" bestFit="1" customWidth="1"/>
    <col min="43" max="43" width="14.6640625" bestFit="1" customWidth="1"/>
    <col min="44" max="44" width="16.1640625" bestFit="1" customWidth="1"/>
    <col min="45" max="45" width="12.1640625" bestFit="1" customWidth="1"/>
    <col min="46" max="46" width="15.33203125" bestFit="1" customWidth="1"/>
    <col min="47" max="47" width="26" bestFit="1" customWidth="1"/>
    <col min="48" max="48" width="28.1640625" bestFit="1" customWidth="1"/>
    <col min="49" max="49" width="24.83203125" bestFit="1" customWidth="1"/>
    <col min="50" max="50" width="24.33203125" bestFit="1" customWidth="1"/>
    <col min="51" max="51" width="25.83203125" bestFit="1" customWidth="1"/>
    <col min="52" max="52" width="29.6640625" bestFit="1" customWidth="1"/>
    <col min="53" max="53" width="30.83203125" bestFit="1" customWidth="1"/>
    <col min="54" max="54" width="27.6640625" bestFit="1" customWidth="1"/>
    <col min="55" max="55" width="28.6640625" bestFit="1" customWidth="1"/>
    <col min="56" max="56" width="9.83203125" bestFit="1" customWidth="1"/>
    <col min="57" max="57" width="14" bestFit="1" customWidth="1"/>
    <col min="58" max="58" width="16.5" bestFit="1" customWidth="1"/>
    <col min="59" max="59" width="14.6640625" bestFit="1" customWidth="1"/>
    <col min="60" max="60" width="13.6640625" bestFit="1" customWidth="1"/>
    <col min="61" max="61" width="23.5" bestFit="1" customWidth="1"/>
    <col min="62" max="62" width="25.33203125" bestFit="1" customWidth="1"/>
    <col min="63" max="63" width="7.6640625" bestFit="1" customWidth="1"/>
    <col min="64" max="64" width="6.83203125" bestFit="1" customWidth="1"/>
    <col min="65" max="65" width="20.5" bestFit="1" customWidth="1"/>
    <col min="66" max="66" width="20.83203125" bestFit="1" customWidth="1"/>
    <col min="67" max="67" width="20.5" bestFit="1" customWidth="1"/>
    <col min="68" max="68" width="20.6640625" bestFit="1" customWidth="1"/>
    <col min="69" max="69" width="12.33203125" bestFit="1" customWidth="1"/>
    <col min="70" max="70" width="17.33203125" bestFit="1" customWidth="1"/>
    <col min="71" max="71" width="20.1640625" bestFit="1" customWidth="1"/>
    <col min="72" max="72" width="15.5" bestFit="1" customWidth="1"/>
    <col min="73" max="73" width="14.1640625" bestFit="1" customWidth="1"/>
    <col min="74" max="74" width="15.6640625" bestFit="1" customWidth="1"/>
    <col min="75" max="75" width="33.33203125" bestFit="1" customWidth="1"/>
    <col min="76" max="76" width="26.1640625" bestFit="1" customWidth="1"/>
    <col min="77" max="77" width="35.6640625" bestFit="1" customWidth="1"/>
    <col min="78" max="78" width="28.33203125" bestFit="1" customWidth="1"/>
    <col min="79" max="79" width="32.83203125" bestFit="1" customWidth="1"/>
    <col min="80" max="80" width="25.6640625" bestFit="1" customWidth="1"/>
    <col min="81" max="81" width="35.1640625" bestFit="1" customWidth="1"/>
    <col min="82" max="82" width="27.83203125" bestFit="1" customWidth="1"/>
    <col min="83" max="83" width="29.33203125" bestFit="1" customWidth="1"/>
    <col min="84" max="84" width="22" bestFit="1" customWidth="1"/>
    <col min="85" max="85" width="27.1640625" bestFit="1" customWidth="1"/>
    <col min="86" max="86" width="21.83203125" bestFit="1" customWidth="1"/>
    <col min="87" max="87" width="21.83203125" customWidth="1"/>
    <col min="88" max="88" width="19.83203125" bestFit="1" customWidth="1"/>
  </cols>
  <sheetData>
    <row r="1" spans="1:8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s="6" t="s">
        <v>77</v>
      </c>
      <c r="BW1" s="6" t="s">
        <v>78</v>
      </c>
      <c r="BX1" s="6" t="s">
        <v>83</v>
      </c>
      <c r="BY1" s="6" t="s">
        <v>79</v>
      </c>
      <c r="BZ1" s="6" t="s">
        <v>84</v>
      </c>
      <c r="CA1" s="6" t="s">
        <v>80</v>
      </c>
      <c r="CB1" s="6" t="s">
        <v>85</v>
      </c>
      <c r="CC1" s="6" t="s">
        <v>81</v>
      </c>
      <c r="CD1" s="6" t="s">
        <v>86</v>
      </c>
      <c r="CE1" s="6" t="s">
        <v>82</v>
      </c>
      <c r="CF1" s="6" t="s">
        <v>87</v>
      </c>
      <c r="CG1" s="6" t="s">
        <v>88</v>
      </c>
      <c r="CH1" s="6" t="s">
        <v>89</v>
      </c>
      <c r="CI1" s="6" t="s">
        <v>92</v>
      </c>
      <c r="CJ1" s="6" t="s">
        <v>184</v>
      </c>
    </row>
    <row r="2" spans="1:88" x14ac:dyDescent="0.2">
      <c r="C2" s="5"/>
      <c r="E2" s="16"/>
      <c r="AF2" s="5"/>
      <c r="BV2" s="6">
        <f>_xlfn.XLOOKUP(process[[#This Row],[ Posting Date]],Table3[Date],Table3[Exchange Rate], , -1)</f>
        <v>24.725000000000001</v>
      </c>
      <c r="BW2" s="6">
        <f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f>
        <v>0</v>
      </c>
      <c r="BX2" s="6">
        <f>process[[#This Row],[Exchange Rate]]*process[[#This Row],[Sales Amount (Actual) CORRECTED]]</f>
        <v>0</v>
      </c>
      <c r="BY2" s="6">
        <f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f>
        <v>0</v>
      </c>
      <c r="BZ2" s="6">
        <f>process[[#This Row],[Exchange Rate]]*process[[#This Row],[Sales Amount (Expected) CORRECTED]]</f>
        <v>0</v>
      </c>
      <c r="CA2" s="6">
        <f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f>
        <v>0</v>
      </c>
      <c r="CB2" s="6">
        <f>process[[#This Row],[Exchange Rate]]*process[[#This Row],[Cost Amount (Actual) CORRECTED]]</f>
        <v>0</v>
      </c>
      <c r="CC2" s="6">
        <f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f>
        <v>0</v>
      </c>
      <c r="CD2" s="6">
        <f>process[[#This Row],[Exchange Rate]]*process[[#This Row],[Cost Amount (Expected) CORRECTED]]</f>
        <v>0</v>
      </c>
      <c r="CE2" s="6">
        <f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f>
        <v>0</v>
      </c>
      <c r="CF2" s="6">
        <f>process[[#This Row],[Exchange Rate]]*process[[#This Row],[Discount Amount CORRECTED]]</f>
        <v>0</v>
      </c>
      <c r="CG2" s="6" t="b">
        <f>AND(process[[#This Row],[Sales Amount (Actual) CZK]]=0,NOT(process[[#This Row],[Sales Amount (Expected) CZK]]=0))</f>
        <v>0</v>
      </c>
      <c r="CH2" s="6" t="b">
        <f>AND(process[[#This Row],[Cost Amount (Actual) CZK]]=0,NOT(process[[#This Row],[Cost Amount (Expected) CZK]]=0))</f>
        <v>0</v>
      </c>
      <c r="CI2" s="6">
        <f>_xlfn.XLOOKUP(process[[#This Row],[ Item Ledger Entry No.]],ILEEntryNoMap[ORIGINAL],ILEEntryNoMap[NEW])</f>
        <v>0</v>
      </c>
      <c r="CJ2" s="6">
        <f>_xlfn.XLOOKUP(_xlfn.VALUETOTEXT(process[[#This Row],[ Source No.]]),customerMap[Customer ID (NAV5)],customerMap[Customer ID (NAV17)],process[[#This Row],[ Source No.]],0)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084C0-1FC4-CF40-940B-47A3F64D5908}">
  <sheetPr codeName="Sheet4"/>
  <dimension ref="A1:B250"/>
  <sheetViews>
    <sheetView topLeftCell="A5" workbookViewId="0">
      <selection activeCell="F22" sqref="F22"/>
    </sheetView>
  </sheetViews>
  <sheetFormatPr baseColWidth="10" defaultRowHeight="16" x14ac:dyDescent="0.2"/>
  <cols>
    <col min="1" max="1" width="10.1640625" bestFit="1" customWidth="1"/>
    <col min="2" max="2" width="14.83203125" bestFit="1" customWidth="1"/>
  </cols>
  <sheetData>
    <row r="1" spans="1:2" x14ac:dyDescent="0.2">
      <c r="A1" s="7" t="s">
        <v>76</v>
      </c>
      <c r="B1" s="7" t="s">
        <v>77</v>
      </c>
    </row>
    <row r="2" spans="1:2" x14ac:dyDescent="0.2">
      <c r="A2" s="8">
        <v>44928</v>
      </c>
      <c r="B2" s="11">
        <v>24.175000000000001</v>
      </c>
    </row>
    <row r="3" spans="1:2" x14ac:dyDescent="0.2">
      <c r="A3" s="9">
        <v>44929</v>
      </c>
      <c r="B3" s="12">
        <v>24.125</v>
      </c>
    </row>
    <row r="4" spans="1:2" x14ac:dyDescent="0.2">
      <c r="A4" s="8">
        <v>44930</v>
      </c>
      <c r="B4" s="11">
        <v>24.024999999999999</v>
      </c>
    </row>
    <row r="5" spans="1:2" x14ac:dyDescent="0.2">
      <c r="A5" s="9">
        <v>44931</v>
      </c>
      <c r="B5" s="12">
        <v>24.03</v>
      </c>
    </row>
    <row r="6" spans="1:2" x14ac:dyDescent="0.2">
      <c r="A6" s="8">
        <v>44932</v>
      </c>
      <c r="B6" s="11">
        <v>24.055</v>
      </c>
    </row>
    <row r="7" spans="1:2" x14ac:dyDescent="0.2">
      <c r="A7" s="9">
        <v>44935</v>
      </c>
      <c r="B7" s="12">
        <v>23.99</v>
      </c>
    </row>
    <row r="8" spans="1:2" x14ac:dyDescent="0.2">
      <c r="A8" s="8">
        <v>44936</v>
      </c>
      <c r="B8" s="11">
        <v>23.984999999999999</v>
      </c>
    </row>
    <row r="9" spans="1:2" x14ac:dyDescent="0.2">
      <c r="A9" s="9">
        <v>44937</v>
      </c>
      <c r="B9" s="12">
        <v>24.024999999999999</v>
      </c>
    </row>
    <row r="10" spans="1:2" x14ac:dyDescent="0.2">
      <c r="A10" s="8">
        <v>44938</v>
      </c>
      <c r="B10" s="11">
        <v>24.035</v>
      </c>
    </row>
    <row r="11" spans="1:2" x14ac:dyDescent="0.2">
      <c r="A11" s="9">
        <v>44939</v>
      </c>
      <c r="B11" s="12">
        <v>24.015000000000001</v>
      </c>
    </row>
    <row r="12" spans="1:2" x14ac:dyDescent="0.2">
      <c r="A12" s="8">
        <v>44942</v>
      </c>
      <c r="B12" s="11">
        <v>23.995000000000001</v>
      </c>
    </row>
    <row r="13" spans="1:2" x14ac:dyDescent="0.2">
      <c r="A13" s="9">
        <v>44943</v>
      </c>
      <c r="B13" s="12">
        <v>23.965</v>
      </c>
    </row>
    <row r="14" spans="1:2" x14ac:dyDescent="0.2">
      <c r="A14" s="8">
        <v>44944</v>
      </c>
      <c r="B14" s="11">
        <v>23.954999999999998</v>
      </c>
    </row>
    <row r="15" spans="1:2" x14ac:dyDescent="0.2">
      <c r="A15" s="9">
        <v>44945</v>
      </c>
      <c r="B15" s="12">
        <v>23.925000000000001</v>
      </c>
    </row>
    <row r="16" spans="1:2" x14ac:dyDescent="0.2">
      <c r="A16" s="8">
        <v>44946</v>
      </c>
      <c r="B16" s="11">
        <v>23.92</v>
      </c>
    </row>
    <row r="17" spans="1:2" x14ac:dyDescent="0.2">
      <c r="A17" s="9">
        <v>44949</v>
      </c>
      <c r="B17" s="12">
        <v>23.88</v>
      </c>
    </row>
    <row r="18" spans="1:2" x14ac:dyDescent="0.2">
      <c r="A18" s="8">
        <v>44950</v>
      </c>
      <c r="B18" s="11">
        <v>23.875</v>
      </c>
    </row>
    <row r="19" spans="1:2" x14ac:dyDescent="0.2">
      <c r="A19" s="9">
        <v>44951</v>
      </c>
      <c r="B19" s="12">
        <v>23.81</v>
      </c>
    </row>
    <row r="20" spans="1:2" x14ac:dyDescent="0.2">
      <c r="A20" s="8">
        <v>44952</v>
      </c>
      <c r="B20" s="11">
        <v>23.82</v>
      </c>
    </row>
    <row r="21" spans="1:2" x14ac:dyDescent="0.2">
      <c r="A21" s="9">
        <v>44953</v>
      </c>
      <c r="B21" s="12">
        <v>23.824999999999999</v>
      </c>
    </row>
    <row r="22" spans="1:2" x14ac:dyDescent="0.2">
      <c r="A22" s="8">
        <v>44956</v>
      </c>
      <c r="B22" s="11">
        <v>23.86</v>
      </c>
    </row>
    <row r="23" spans="1:2" x14ac:dyDescent="0.2">
      <c r="A23" s="9">
        <v>44957</v>
      </c>
      <c r="B23" s="12">
        <v>23.79</v>
      </c>
    </row>
    <row r="24" spans="1:2" x14ac:dyDescent="0.2">
      <c r="A24" s="8">
        <v>44958</v>
      </c>
      <c r="B24" s="11">
        <v>23.77</v>
      </c>
    </row>
    <row r="25" spans="1:2" x14ac:dyDescent="0.2">
      <c r="A25" s="9">
        <v>44959</v>
      </c>
      <c r="B25" s="12">
        <v>23.81</v>
      </c>
    </row>
    <row r="26" spans="1:2" x14ac:dyDescent="0.2">
      <c r="A26" s="8">
        <v>44960</v>
      </c>
      <c r="B26" s="11">
        <v>23.725000000000001</v>
      </c>
    </row>
    <row r="27" spans="1:2" x14ac:dyDescent="0.2">
      <c r="A27" s="9">
        <v>44963</v>
      </c>
      <c r="B27" s="12">
        <v>23.84</v>
      </c>
    </row>
    <row r="28" spans="1:2" x14ac:dyDescent="0.2">
      <c r="A28" s="8">
        <v>44964</v>
      </c>
      <c r="B28" s="11">
        <v>23.83</v>
      </c>
    </row>
    <row r="29" spans="1:2" x14ac:dyDescent="0.2">
      <c r="A29" s="9">
        <v>44965</v>
      </c>
      <c r="B29" s="12">
        <v>23.78</v>
      </c>
    </row>
    <row r="30" spans="1:2" x14ac:dyDescent="0.2">
      <c r="A30" s="8">
        <v>44966</v>
      </c>
      <c r="B30" s="11">
        <v>23.695</v>
      </c>
    </row>
    <row r="31" spans="1:2" x14ac:dyDescent="0.2">
      <c r="A31" s="9">
        <v>44967</v>
      </c>
      <c r="B31" s="12">
        <v>23.69</v>
      </c>
    </row>
    <row r="32" spans="1:2" x14ac:dyDescent="0.2">
      <c r="A32" s="8">
        <v>44970</v>
      </c>
      <c r="B32" s="11">
        <v>23.74</v>
      </c>
    </row>
    <row r="33" spans="1:2" x14ac:dyDescent="0.2">
      <c r="A33" s="9">
        <v>44971</v>
      </c>
      <c r="B33" s="12">
        <v>23.75</v>
      </c>
    </row>
    <row r="34" spans="1:2" x14ac:dyDescent="0.2">
      <c r="A34" s="8">
        <v>44972</v>
      </c>
      <c r="B34" s="11">
        <v>23.664999999999999</v>
      </c>
    </row>
    <row r="35" spans="1:2" x14ac:dyDescent="0.2">
      <c r="A35" s="9">
        <v>44973</v>
      </c>
      <c r="B35" s="12">
        <v>23.684999999999999</v>
      </c>
    </row>
    <row r="36" spans="1:2" x14ac:dyDescent="0.2">
      <c r="A36" s="8">
        <v>44974</v>
      </c>
      <c r="B36" s="11">
        <v>23.715</v>
      </c>
    </row>
    <row r="37" spans="1:2" x14ac:dyDescent="0.2">
      <c r="A37" s="9">
        <v>44977</v>
      </c>
      <c r="B37" s="12">
        <v>23.695</v>
      </c>
    </row>
    <row r="38" spans="1:2" x14ac:dyDescent="0.2">
      <c r="A38" s="8">
        <v>44978</v>
      </c>
      <c r="B38" s="11">
        <v>23.73</v>
      </c>
    </row>
    <row r="39" spans="1:2" x14ac:dyDescent="0.2">
      <c r="A39" s="9">
        <v>44979</v>
      </c>
      <c r="B39" s="12">
        <v>23.67</v>
      </c>
    </row>
    <row r="40" spans="1:2" x14ac:dyDescent="0.2">
      <c r="A40" s="8">
        <v>44980</v>
      </c>
      <c r="B40" s="11">
        <v>23.684999999999999</v>
      </c>
    </row>
    <row r="41" spans="1:2" x14ac:dyDescent="0.2">
      <c r="A41" s="9">
        <v>44981</v>
      </c>
      <c r="B41" s="12">
        <v>23.64</v>
      </c>
    </row>
    <row r="42" spans="1:2" x14ac:dyDescent="0.2">
      <c r="A42" s="8">
        <v>44984</v>
      </c>
      <c r="B42" s="11">
        <v>23.62</v>
      </c>
    </row>
    <row r="43" spans="1:2" x14ac:dyDescent="0.2">
      <c r="A43" s="9">
        <v>44985</v>
      </c>
      <c r="B43" s="12">
        <v>23.495000000000001</v>
      </c>
    </row>
    <row r="44" spans="1:2" x14ac:dyDescent="0.2">
      <c r="A44" s="8">
        <v>44986</v>
      </c>
      <c r="B44" s="11">
        <v>23.425000000000001</v>
      </c>
    </row>
    <row r="45" spans="1:2" x14ac:dyDescent="0.2">
      <c r="A45" s="9">
        <v>44987</v>
      </c>
      <c r="B45" s="12">
        <v>23.484999999999999</v>
      </c>
    </row>
    <row r="46" spans="1:2" x14ac:dyDescent="0.2">
      <c r="A46" s="8">
        <v>44988</v>
      </c>
      <c r="B46" s="11">
        <v>23.51</v>
      </c>
    </row>
    <row r="47" spans="1:2" x14ac:dyDescent="0.2">
      <c r="A47" s="9">
        <v>44991</v>
      </c>
      <c r="B47" s="12">
        <v>23.545000000000002</v>
      </c>
    </row>
    <row r="48" spans="1:2" x14ac:dyDescent="0.2">
      <c r="A48" s="8">
        <v>44992</v>
      </c>
      <c r="B48" s="11">
        <v>23.495000000000001</v>
      </c>
    </row>
    <row r="49" spans="1:2" x14ac:dyDescent="0.2">
      <c r="A49" s="9">
        <v>44993</v>
      </c>
      <c r="B49" s="12">
        <v>23.585000000000001</v>
      </c>
    </row>
    <row r="50" spans="1:2" x14ac:dyDescent="0.2">
      <c r="A50" s="8">
        <v>44994</v>
      </c>
      <c r="B50" s="11">
        <v>23.62</v>
      </c>
    </row>
    <row r="51" spans="1:2" x14ac:dyDescent="0.2">
      <c r="A51" s="9">
        <v>44995</v>
      </c>
      <c r="B51" s="12">
        <v>23.635000000000002</v>
      </c>
    </row>
    <row r="52" spans="1:2" x14ac:dyDescent="0.2">
      <c r="A52" s="8">
        <v>44998</v>
      </c>
      <c r="B52" s="11">
        <v>23.745000000000001</v>
      </c>
    </row>
    <row r="53" spans="1:2" x14ac:dyDescent="0.2">
      <c r="A53" s="9">
        <v>44999</v>
      </c>
      <c r="B53" s="12">
        <v>23.79</v>
      </c>
    </row>
    <row r="54" spans="1:2" x14ac:dyDescent="0.2">
      <c r="A54" s="8">
        <v>45000</v>
      </c>
      <c r="B54" s="11">
        <v>23.94</v>
      </c>
    </row>
    <row r="55" spans="1:2" x14ac:dyDescent="0.2">
      <c r="A55" s="9">
        <v>45001</v>
      </c>
      <c r="B55" s="12">
        <v>24.015000000000001</v>
      </c>
    </row>
    <row r="56" spans="1:2" x14ac:dyDescent="0.2">
      <c r="A56" s="8">
        <v>45002</v>
      </c>
      <c r="B56" s="11">
        <v>23.95</v>
      </c>
    </row>
    <row r="57" spans="1:2" x14ac:dyDescent="0.2">
      <c r="A57" s="9">
        <v>45005</v>
      </c>
      <c r="B57" s="12">
        <v>23.984999999999999</v>
      </c>
    </row>
    <row r="58" spans="1:2" x14ac:dyDescent="0.2">
      <c r="A58" s="8">
        <v>45006</v>
      </c>
      <c r="B58" s="11">
        <v>23.844999999999999</v>
      </c>
    </row>
    <row r="59" spans="1:2" x14ac:dyDescent="0.2">
      <c r="A59" s="9">
        <v>45007</v>
      </c>
      <c r="B59" s="12">
        <v>23.72</v>
      </c>
    </row>
    <row r="60" spans="1:2" x14ac:dyDescent="0.2">
      <c r="A60" s="8">
        <v>45008</v>
      </c>
      <c r="B60" s="11">
        <v>23.66</v>
      </c>
    </row>
    <row r="61" spans="1:2" x14ac:dyDescent="0.2">
      <c r="A61" s="9">
        <v>45009</v>
      </c>
      <c r="B61" s="12">
        <v>23.68</v>
      </c>
    </row>
    <row r="62" spans="1:2" x14ac:dyDescent="0.2">
      <c r="A62" s="8">
        <v>45012</v>
      </c>
      <c r="B62" s="11">
        <v>23.734999999999999</v>
      </c>
    </row>
    <row r="63" spans="1:2" x14ac:dyDescent="0.2">
      <c r="A63" s="9">
        <v>45013</v>
      </c>
      <c r="B63" s="12">
        <v>23.664999999999999</v>
      </c>
    </row>
    <row r="64" spans="1:2" x14ac:dyDescent="0.2">
      <c r="A64" s="8">
        <v>45014</v>
      </c>
      <c r="B64" s="11">
        <v>23.63</v>
      </c>
    </row>
    <row r="65" spans="1:2" x14ac:dyDescent="0.2">
      <c r="A65" s="9">
        <v>45015</v>
      </c>
      <c r="B65" s="12">
        <v>23.55</v>
      </c>
    </row>
    <row r="66" spans="1:2" x14ac:dyDescent="0.2">
      <c r="A66" s="8">
        <v>45016</v>
      </c>
      <c r="B66" s="11">
        <v>23.49</v>
      </c>
    </row>
    <row r="67" spans="1:2" x14ac:dyDescent="0.2">
      <c r="A67" s="9">
        <v>45019</v>
      </c>
      <c r="B67" s="12">
        <v>23.44</v>
      </c>
    </row>
    <row r="68" spans="1:2" x14ac:dyDescent="0.2">
      <c r="A68" s="8">
        <v>45020</v>
      </c>
      <c r="B68" s="11">
        <v>23.42</v>
      </c>
    </row>
    <row r="69" spans="1:2" x14ac:dyDescent="0.2">
      <c r="A69" s="9">
        <v>45021</v>
      </c>
      <c r="B69" s="12">
        <v>23.425000000000001</v>
      </c>
    </row>
    <row r="70" spans="1:2" x14ac:dyDescent="0.2">
      <c r="A70" s="8">
        <v>45022</v>
      </c>
      <c r="B70" s="11">
        <v>23.41</v>
      </c>
    </row>
    <row r="71" spans="1:2" x14ac:dyDescent="0.2">
      <c r="A71" s="9">
        <v>45027</v>
      </c>
      <c r="B71" s="12">
        <v>23.48</v>
      </c>
    </row>
    <row r="72" spans="1:2" x14ac:dyDescent="0.2">
      <c r="A72" s="8">
        <v>45028</v>
      </c>
      <c r="B72" s="11">
        <v>23.42</v>
      </c>
    </row>
    <row r="73" spans="1:2" x14ac:dyDescent="0.2">
      <c r="A73" s="9">
        <v>45029</v>
      </c>
      <c r="B73" s="12">
        <v>23.274999999999999</v>
      </c>
    </row>
    <row r="74" spans="1:2" x14ac:dyDescent="0.2">
      <c r="A74" s="8">
        <v>45030</v>
      </c>
      <c r="B74" s="11">
        <v>23.344999999999999</v>
      </c>
    </row>
    <row r="75" spans="1:2" x14ac:dyDescent="0.2">
      <c r="A75" s="9">
        <v>45033</v>
      </c>
      <c r="B75" s="12">
        <v>23.355</v>
      </c>
    </row>
    <row r="76" spans="1:2" x14ac:dyDescent="0.2">
      <c r="A76" s="8">
        <v>45034</v>
      </c>
      <c r="B76" s="11">
        <v>23.375</v>
      </c>
    </row>
    <row r="77" spans="1:2" x14ac:dyDescent="0.2">
      <c r="A77" s="9">
        <v>45035</v>
      </c>
      <c r="B77" s="12">
        <v>23.47</v>
      </c>
    </row>
    <row r="78" spans="1:2" x14ac:dyDescent="0.2">
      <c r="A78" s="8">
        <v>45036</v>
      </c>
      <c r="B78" s="11">
        <v>23.5</v>
      </c>
    </row>
    <row r="79" spans="1:2" x14ac:dyDescent="0.2">
      <c r="A79" s="9">
        <v>45037</v>
      </c>
      <c r="B79" s="12">
        <v>23.55</v>
      </c>
    </row>
    <row r="80" spans="1:2" x14ac:dyDescent="0.2">
      <c r="A80" s="8">
        <v>45040</v>
      </c>
      <c r="B80" s="11">
        <v>23.445</v>
      </c>
    </row>
    <row r="81" spans="1:2" x14ac:dyDescent="0.2">
      <c r="A81" s="9">
        <v>45041</v>
      </c>
      <c r="B81" s="12">
        <v>23.47</v>
      </c>
    </row>
    <row r="82" spans="1:2" x14ac:dyDescent="0.2">
      <c r="A82" s="8">
        <v>45042</v>
      </c>
      <c r="B82" s="11">
        <v>23.495000000000001</v>
      </c>
    </row>
    <row r="83" spans="1:2" x14ac:dyDescent="0.2">
      <c r="A83" s="9">
        <v>45043</v>
      </c>
      <c r="B83" s="12">
        <v>23.504999999999999</v>
      </c>
    </row>
    <row r="84" spans="1:2" x14ac:dyDescent="0.2">
      <c r="A84" s="8">
        <v>45044</v>
      </c>
      <c r="B84" s="11">
        <v>23.504999999999999</v>
      </c>
    </row>
    <row r="85" spans="1:2" x14ac:dyDescent="0.2">
      <c r="A85" s="9">
        <v>45048</v>
      </c>
      <c r="B85" s="12">
        <v>23.594999999999999</v>
      </c>
    </row>
    <row r="86" spans="1:2" x14ac:dyDescent="0.2">
      <c r="A86" s="8">
        <v>45049</v>
      </c>
      <c r="B86" s="11">
        <v>23.56</v>
      </c>
    </row>
    <row r="87" spans="1:2" x14ac:dyDescent="0.2">
      <c r="A87" s="9">
        <v>45050</v>
      </c>
      <c r="B87" s="12">
        <v>23.46</v>
      </c>
    </row>
    <row r="88" spans="1:2" x14ac:dyDescent="0.2">
      <c r="A88" s="8">
        <v>45051</v>
      </c>
      <c r="B88" s="11">
        <v>23.4</v>
      </c>
    </row>
    <row r="89" spans="1:2" x14ac:dyDescent="0.2">
      <c r="A89" s="9">
        <v>45055</v>
      </c>
      <c r="B89" s="12">
        <v>23.364999999999998</v>
      </c>
    </row>
    <row r="90" spans="1:2" x14ac:dyDescent="0.2">
      <c r="A90" s="8">
        <v>45056</v>
      </c>
      <c r="B90" s="11">
        <v>23.414999999999999</v>
      </c>
    </row>
    <row r="91" spans="1:2" x14ac:dyDescent="0.2">
      <c r="A91" s="9">
        <v>45057</v>
      </c>
      <c r="B91" s="12">
        <v>23.5</v>
      </c>
    </row>
    <row r="92" spans="1:2" x14ac:dyDescent="0.2">
      <c r="A92" s="8">
        <v>45058</v>
      </c>
      <c r="B92" s="11">
        <v>23.605</v>
      </c>
    </row>
    <row r="93" spans="1:2" x14ac:dyDescent="0.2">
      <c r="A93" s="9">
        <v>45061</v>
      </c>
      <c r="B93" s="12">
        <v>23.565000000000001</v>
      </c>
    </row>
    <row r="94" spans="1:2" x14ac:dyDescent="0.2">
      <c r="A94" s="8">
        <v>45062</v>
      </c>
      <c r="B94" s="11">
        <v>23.675000000000001</v>
      </c>
    </row>
    <row r="95" spans="1:2" x14ac:dyDescent="0.2">
      <c r="A95" s="9">
        <v>45063</v>
      </c>
      <c r="B95" s="12">
        <v>23.635000000000002</v>
      </c>
    </row>
    <row r="96" spans="1:2" x14ac:dyDescent="0.2">
      <c r="A96" s="8">
        <v>45064</v>
      </c>
      <c r="B96" s="11">
        <v>23.68</v>
      </c>
    </row>
    <row r="97" spans="1:2" x14ac:dyDescent="0.2">
      <c r="A97" s="9">
        <v>45065</v>
      </c>
      <c r="B97" s="12">
        <v>23.754999999999999</v>
      </c>
    </row>
    <row r="98" spans="1:2" x14ac:dyDescent="0.2">
      <c r="A98" s="8">
        <v>45068</v>
      </c>
      <c r="B98" s="11">
        <v>23.675000000000001</v>
      </c>
    </row>
    <row r="99" spans="1:2" x14ac:dyDescent="0.2">
      <c r="A99" s="9">
        <v>45069</v>
      </c>
      <c r="B99" s="12">
        <v>23.675000000000001</v>
      </c>
    </row>
    <row r="100" spans="1:2" x14ac:dyDescent="0.2">
      <c r="A100" s="8">
        <v>45070</v>
      </c>
      <c r="B100" s="11">
        <v>23.67</v>
      </c>
    </row>
    <row r="101" spans="1:2" x14ac:dyDescent="0.2">
      <c r="A101" s="9">
        <v>45071</v>
      </c>
      <c r="B101" s="12">
        <v>23.645</v>
      </c>
    </row>
    <row r="102" spans="1:2" x14ac:dyDescent="0.2">
      <c r="A102" s="8">
        <v>45072</v>
      </c>
      <c r="B102" s="11">
        <v>23.645</v>
      </c>
    </row>
    <row r="103" spans="1:2" x14ac:dyDescent="0.2">
      <c r="A103" s="9">
        <v>45075</v>
      </c>
      <c r="B103" s="12">
        <v>23.695</v>
      </c>
    </row>
    <row r="104" spans="1:2" x14ac:dyDescent="0.2">
      <c r="A104" s="8">
        <v>45076</v>
      </c>
      <c r="B104" s="11">
        <v>23.715</v>
      </c>
    </row>
    <row r="105" spans="1:2" x14ac:dyDescent="0.2">
      <c r="A105" s="9">
        <v>45077</v>
      </c>
      <c r="B105" s="12">
        <v>23.745000000000001</v>
      </c>
    </row>
    <row r="106" spans="1:2" x14ac:dyDescent="0.2">
      <c r="A106" s="8">
        <v>45078</v>
      </c>
      <c r="B106" s="11">
        <v>23.684999999999999</v>
      </c>
    </row>
    <row r="107" spans="1:2" x14ac:dyDescent="0.2">
      <c r="A107" s="9">
        <v>45079</v>
      </c>
      <c r="B107" s="12">
        <v>23.655000000000001</v>
      </c>
    </row>
    <row r="108" spans="1:2" x14ac:dyDescent="0.2">
      <c r="A108" s="8">
        <v>45082</v>
      </c>
      <c r="B108" s="11">
        <v>23.57</v>
      </c>
    </row>
    <row r="109" spans="1:2" x14ac:dyDescent="0.2">
      <c r="A109" s="9">
        <v>45083</v>
      </c>
      <c r="B109" s="12">
        <v>23.52</v>
      </c>
    </row>
    <row r="110" spans="1:2" x14ac:dyDescent="0.2">
      <c r="A110" s="8">
        <v>45084</v>
      </c>
      <c r="B110" s="11">
        <v>23.64</v>
      </c>
    </row>
    <row r="111" spans="1:2" x14ac:dyDescent="0.2">
      <c r="A111" s="9">
        <v>45085</v>
      </c>
      <c r="B111" s="12">
        <v>23.625</v>
      </c>
    </row>
    <row r="112" spans="1:2" x14ac:dyDescent="0.2">
      <c r="A112" s="8">
        <v>45086</v>
      </c>
      <c r="B112" s="11">
        <v>23.664999999999999</v>
      </c>
    </row>
    <row r="113" spans="1:2" x14ac:dyDescent="0.2">
      <c r="A113" s="9">
        <v>45089</v>
      </c>
      <c r="B113" s="12">
        <v>23.76</v>
      </c>
    </row>
    <row r="114" spans="1:2" x14ac:dyDescent="0.2">
      <c r="A114" s="8">
        <v>45090</v>
      </c>
      <c r="B114" s="11">
        <v>23.81</v>
      </c>
    </row>
    <row r="115" spans="1:2" x14ac:dyDescent="0.2">
      <c r="A115" s="9">
        <v>45091</v>
      </c>
      <c r="B115" s="12">
        <v>23.795000000000002</v>
      </c>
    </row>
    <row r="116" spans="1:2" x14ac:dyDescent="0.2">
      <c r="A116" s="8">
        <v>45092</v>
      </c>
      <c r="B116" s="11">
        <v>23.765000000000001</v>
      </c>
    </row>
    <row r="117" spans="1:2" x14ac:dyDescent="0.2">
      <c r="A117" s="9">
        <v>45093</v>
      </c>
      <c r="B117" s="12">
        <v>23.82</v>
      </c>
    </row>
    <row r="118" spans="1:2" x14ac:dyDescent="0.2">
      <c r="A118" s="8">
        <v>45096</v>
      </c>
      <c r="B118" s="11">
        <v>23.785</v>
      </c>
    </row>
    <row r="119" spans="1:2" x14ac:dyDescent="0.2">
      <c r="A119" s="9">
        <v>45097</v>
      </c>
      <c r="B119" s="12">
        <v>23.745000000000001</v>
      </c>
    </row>
    <row r="120" spans="1:2" x14ac:dyDescent="0.2">
      <c r="A120" s="8">
        <v>45098</v>
      </c>
      <c r="B120" s="11">
        <v>23.76</v>
      </c>
    </row>
    <row r="121" spans="1:2" x14ac:dyDescent="0.2">
      <c r="A121" s="9">
        <v>45099</v>
      </c>
      <c r="B121" s="12">
        <v>23.675000000000001</v>
      </c>
    </row>
    <row r="122" spans="1:2" x14ac:dyDescent="0.2">
      <c r="A122" s="8">
        <v>45100</v>
      </c>
      <c r="B122" s="11">
        <v>23.66</v>
      </c>
    </row>
    <row r="123" spans="1:2" x14ac:dyDescent="0.2">
      <c r="A123" s="9">
        <v>45103</v>
      </c>
      <c r="B123" s="12">
        <v>23.655000000000001</v>
      </c>
    </row>
    <row r="124" spans="1:2" x14ac:dyDescent="0.2">
      <c r="A124" s="8">
        <v>45104</v>
      </c>
      <c r="B124" s="11">
        <v>23.605</v>
      </c>
    </row>
    <row r="125" spans="1:2" x14ac:dyDescent="0.2">
      <c r="A125" s="9">
        <v>45105</v>
      </c>
      <c r="B125" s="12">
        <v>23.69</v>
      </c>
    </row>
    <row r="126" spans="1:2" x14ac:dyDescent="0.2">
      <c r="A126" s="8">
        <v>45106</v>
      </c>
      <c r="B126" s="11">
        <v>23.695</v>
      </c>
    </row>
    <row r="127" spans="1:2" x14ac:dyDescent="0.2">
      <c r="A127" s="9">
        <v>45107</v>
      </c>
      <c r="B127" s="12">
        <v>23.73</v>
      </c>
    </row>
    <row r="128" spans="1:2" x14ac:dyDescent="0.2">
      <c r="A128" s="8">
        <v>45110</v>
      </c>
      <c r="B128" s="11">
        <v>23.71</v>
      </c>
    </row>
    <row r="129" spans="1:2" x14ac:dyDescent="0.2">
      <c r="A129" s="9">
        <v>45111</v>
      </c>
      <c r="B129" s="12">
        <v>23.695</v>
      </c>
    </row>
    <row r="130" spans="1:2" x14ac:dyDescent="0.2">
      <c r="A130" s="8">
        <v>45114</v>
      </c>
      <c r="B130" s="11">
        <v>23.945</v>
      </c>
    </row>
    <row r="131" spans="1:2" x14ac:dyDescent="0.2">
      <c r="A131" s="9">
        <v>45117</v>
      </c>
      <c r="B131" s="12">
        <v>23.84</v>
      </c>
    </row>
    <row r="132" spans="1:2" x14ac:dyDescent="0.2">
      <c r="A132" s="8">
        <v>45118</v>
      </c>
      <c r="B132" s="11">
        <v>23.85</v>
      </c>
    </row>
    <row r="133" spans="1:2" x14ac:dyDescent="0.2">
      <c r="A133" s="9">
        <v>45119</v>
      </c>
      <c r="B133" s="12">
        <v>23.824999999999999</v>
      </c>
    </row>
    <row r="134" spans="1:2" x14ac:dyDescent="0.2">
      <c r="A134" s="8">
        <v>45120</v>
      </c>
      <c r="B134" s="11">
        <v>23.75</v>
      </c>
    </row>
    <row r="135" spans="1:2" x14ac:dyDescent="0.2">
      <c r="A135" s="9">
        <v>45121</v>
      </c>
      <c r="B135" s="12">
        <v>23.774999999999999</v>
      </c>
    </row>
    <row r="136" spans="1:2" x14ac:dyDescent="0.2">
      <c r="A136" s="8">
        <v>45124</v>
      </c>
      <c r="B136" s="11">
        <v>23.76</v>
      </c>
    </row>
    <row r="137" spans="1:2" x14ac:dyDescent="0.2">
      <c r="A137" s="9">
        <v>45125</v>
      </c>
      <c r="B137" s="12">
        <v>23.82</v>
      </c>
    </row>
    <row r="138" spans="1:2" x14ac:dyDescent="0.2">
      <c r="A138" s="8">
        <v>45126</v>
      </c>
      <c r="B138" s="11">
        <v>23.925000000000001</v>
      </c>
    </row>
    <row r="139" spans="1:2" x14ac:dyDescent="0.2">
      <c r="A139" s="9">
        <v>45127</v>
      </c>
      <c r="B139" s="12">
        <v>23.96</v>
      </c>
    </row>
    <row r="140" spans="1:2" x14ac:dyDescent="0.2">
      <c r="A140" s="8">
        <v>45128</v>
      </c>
      <c r="B140" s="11">
        <v>24.05</v>
      </c>
    </row>
    <row r="141" spans="1:2" x14ac:dyDescent="0.2">
      <c r="A141" s="9">
        <v>45131</v>
      </c>
      <c r="B141" s="12">
        <v>24.16</v>
      </c>
    </row>
    <row r="142" spans="1:2" x14ac:dyDescent="0.2">
      <c r="A142" s="8">
        <v>45132</v>
      </c>
      <c r="B142" s="11">
        <v>24.045000000000002</v>
      </c>
    </row>
    <row r="143" spans="1:2" x14ac:dyDescent="0.2">
      <c r="A143" s="9">
        <v>45133</v>
      </c>
      <c r="B143" s="12">
        <v>24.05</v>
      </c>
    </row>
    <row r="144" spans="1:2" x14ac:dyDescent="0.2">
      <c r="A144" s="8">
        <v>45134</v>
      </c>
      <c r="B144" s="11">
        <v>24.055</v>
      </c>
    </row>
    <row r="145" spans="1:2" x14ac:dyDescent="0.2">
      <c r="A145" s="9">
        <v>45135</v>
      </c>
      <c r="B145" s="12">
        <v>24.02</v>
      </c>
    </row>
    <row r="146" spans="1:2" x14ac:dyDescent="0.2">
      <c r="A146" s="8">
        <v>45138</v>
      </c>
      <c r="B146" s="11">
        <v>23.91</v>
      </c>
    </row>
    <row r="147" spans="1:2" x14ac:dyDescent="0.2">
      <c r="A147" s="9">
        <v>45139</v>
      </c>
      <c r="B147" s="12">
        <v>23.95</v>
      </c>
    </row>
    <row r="148" spans="1:2" x14ac:dyDescent="0.2">
      <c r="A148" s="8">
        <v>45140</v>
      </c>
      <c r="B148" s="11">
        <v>23.92</v>
      </c>
    </row>
    <row r="149" spans="1:2" x14ac:dyDescent="0.2">
      <c r="A149" s="9">
        <v>45141</v>
      </c>
      <c r="B149" s="12">
        <v>24.024999999999999</v>
      </c>
    </row>
    <row r="150" spans="1:2" x14ac:dyDescent="0.2">
      <c r="A150" s="8">
        <v>45142</v>
      </c>
      <c r="B150" s="11">
        <v>24.28</v>
      </c>
    </row>
    <row r="151" spans="1:2" x14ac:dyDescent="0.2">
      <c r="A151" s="9">
        <v>45145</v>
      </c>
      <c r="B151" s="12">
        <v>24.245000000000001</v>
      </c>
    </row>
    <row r="152" spans="1:2" x14ac:dyDescent="0.2">
      <c r="A152" s="8">
        <v>45146</v>
      </c>
      <c r="B152" s="11">
        <v>24.245000000000001</v>
      </c>
    </row>
    <row r="153" spans="1:2" x14ac:dyDescent="0.2">
      <c r="A153" s="9">
        <v>45147</v>
      </c>
      <c r="B153" s="12">
        <v>24.3</v>
      </c>
    </row>
    <row r="154" spans="1:2" x14ac:dyDescent="0.2">
      <c r="A154" s="8">
        <v>45148</v>
      </c>
      <c r="B154" s="11">
        <v>24.24</v>
      </c>
    </row>
    <row r="155" spans="1:2" x14ac:dyDescent="0.2">
      <c r="A155" s="9">
        <v>45149</v>
      </c>
      <c r="B155" s="12">
        <v>24.094999999999999</v>
      </c>
    </row>
    <row r="156" spans="1:2" x14ac:dyDescent="0.2">
      <c r="A156" s="8">
        <v>45152</v>
      </c>
      <c r="B156" s="11">
        <v>24.045000000000002</v>
      </c>
    </row>
    <row r="157" spans="1:2" x14ac:dyDescent="0.2">
      <c r="A157" s="9">
        <v>45153</v>
      </c>
      <c r="B157" s="12">
        <v>24.14</v>
      </c>
    </row>
    <row r="158" spans="1:2" x14ac:dyDescent="0.2">
      <c r="A158" s="8">
        <v>45154</v>
      </c>
      <c r="B158" s="11">
        <v>24.07</v>
      </c>
    </row>
    <row r="159" spans="1:2" x14ac:dyDescent="0.2">
      <c r="A159" s="9">
        <v>45155</v>
      </c>
      <c r="B159" s="12">
        <v>24.074999999999999</v>
      </c>
    </row>
    <row r="160" spans="1:2" x14ac:dyDescent="0.2">
      <c r="A160" s="8">
        <v>45156</v>
      </c>
      <c r="B160" s="11">
        <v>24.035</v>
      </c>
    </row>
    <row r="161" spans="1:2" x14ac:dyDescent="0.2">
      <c r="A161" s="9">
        <v>45159</v>
      </c>
      <c r="B161" s="12">
        <v>24.024999999999999</v>
      </c>
    </row>
    <row r="162" spans="1:2" x14ac:dyDescent="0.2">
      <c r="A162" s="8">
        <v>45160</v>
      </c>
      <c r="B162" s="11">
        <v>24.004999999999999</v>
      </c>
    </row>
    <row r="163" spans="1:2" x14ac:dyDescent="0.2">
      <c r="A163" s="9">
        <v>45161</v>
      </c>
      <c r="B163" s="12">
        <v>24.135000000000002</v>
      </c>
    </row>
    <row r="164" spans="1:2" x14ac:dyDescent="0.2">
      <c r="A164" s="8">
        <v>45162</v>
      </c>
      <c r="B164" s="11">
        <v>24.13</v>
      </c>
    </row>
    <row r="165" spans="1:2" x14ac:dyDescent="0.2">
      <c r="A165" s="9">
        <v>45163</v>
      </c>
      <c r="B165" s="12">
        <v>24.13</v>
      </c>
    </row>
    <row r="166" spans="1:2" x14ac:dyDescent="0.2">
      <c r="A166" s="8">
        <v>45166</v>
      </c>
      <c r="B166" s="11">
        <v>24.14</v>
      </c>
    </row>
    <row r="167" spans="1:2" x14ac:dyDescent="0.2">
      <c r="A167" s="9">
        <v>45167</v>
      </c>
      <c r="B167" s="12">
        <v>24.16</v>
      </c>
    </row>
    <row r="168" spans="1:2" x14ac:dyDescent="0.2">
      <c r="A168" s="8">
        <v>45168</v>
      </c>
      <c r="B168" s="11">
        <v>24.105</v>
      </c>
    </row>
    <row r="169" spans="1:2" x14ac:dyDescent="0.2">
      <c r="A169" s="9">
        <v>45169</v>
      </c>
      <c r="B169" s="12">
        <v>24.074999999999999</v>
      </c>
    </row>
    <row r="170" spans="1:2" x14ac:dyDescent="0.2">
      <c r="A170" s="8">
        <v>45170</v>
      </c>
      <c r="B170" s="11">
        <v>24.135000000000002</v>
      </c>
    </row>
    <row r="171" spans="1:2" x14ac:dyDescent="0.2">
      <c r="A171" s="9">
        <v>45173</v>
      </c>
      <c r="B171" s="12">
        <v>24.105</v>
      </c>
    </row>
    <row r="172" spans="1:2" x14ac:dyDescent="0.2">
      <c r="A172" s="8">
        <v>45174</v>
      </c>
      <c r="B172" s="11">
        <v>24.164999999999999</v>
      </c>
    </row>
    <row r="173" spans="1:2" x14ac:dyDescent="0.2">
      <c r="A173" s="9">
        <v>45175</v>
      </c>
      <c r="B173" s="12">
        <v>24.215</v>
      </c>
    </row>
    <row r="174" spans="1:2" x14ac:dyDescent="0.2">
      <c r="A174" s="8">
        <v>45176</v>
      </c>
      <c r="B174" s="11">
        <v>24.37</v>
      </c>
    </row>
    <row r="175" spans="1:2" x14ac:dyDescent="0.2">
      <c r="A175" s="9">
        <v>45177</v>
      </c>
      <c r="B175" s="12">
        <v>24.465</v>
      </c>
    </row>
    <row r="176" spans="1:2" x14ac:dyDescent="0.2">
      <c r="A176" s="8">
        <v>45180</v>
      </c>
      <c r="B176" s="11">
        <v>24.53</v>
      </c>
    </row>
    <row r="177" spans="1:2" x14ac:dyDescent="0.2">
      <c r="A177" s="9">
        <v>45181</v>
      </c>
      <c r="B177" s="12">
        <v>24.59</v>
      </c>
    </row>
    <row r="178" spans="1:2" x14ac:dyDescent="0.2">
      <c r="A178" s="8">
        <v>45182</v>
      </c>
      <c r="B178" s="11">
        <v>24.5</v>
      </c>
    </row>
    <row r="179" spans="1:2" x14ac:dyDescent="0.2">
      <c r="A179" s="9">
        <v>45183</v>
      </c>
      <c r="B179" s="12">
        <v>24.475000000000001</v>
      </c>
    </row>
    <row r="180" spans="1:2" x14ac:dyDescent="0.2">
      <c r="A180" s="8">
        <v>45184</v>
      </c>
      <c r="B180" s="11">
        <v>24.504999999999999</v>
      </c>
    </row>
    <row r="181" spans="1:2" x14ac:dyDescent="0.2">
      <c r="A181" s="9">
        <v>45187</v>
      </c>
      <c r="B181" s="12">
        <v>24.41</v>
      </c>
    </row>
    <row r="182" spans="1:2" x14ac:dyDescent="0.2">
      <c r="A182" s="8">
        <v>45188</v>
      </c>
      <c r="B182" s="11">
        <v>24.43</v>
      </c>
    </row>
    <row r="183" spans="1:2" x14ac:dyDescent="0.2">
      <c r="A183" s="9">
        <v>45189</v>
      </c>
      <c r="B183" s="12">
        <v>24.395</v>
      </c>
    </row>
    <row r="184" spans="1:2" x14ac:dyDescent="0.2">
      <c r="A184" s="8">
        <v>45190</v>
      </c>
      <c r="B184" s="11">
        <v>24.445</v>
      </c>
    </row>
    <row r="185" spans="1:2" x14ac:dyDescent="0.2">
      <c r="A185" s="9">
        <v>45191</v>
      </c>
      <c r="B185" s="12">
        <v>24.385000000000002</v>
      </c>
    </row>
    <row r="186" spans="1:2" x14ac:dyDescent="0.2">
      <c r="A186" s="8">
        <v>45194</v>
      </c>
      <c r="B186" s="11">
        <v>24.38</v>
      </c>
    </row>
    <row r="187" spans="1:2" x14ac:dyDescent="0.2">
      <c r="A187" s="9">
        <v>45195</v>
      </c>
      <c r="B187" s="12">
        <v>24.425000000000001</v>
      </c>
    </row>
    <row r="188" spans="1:2" x14ac:dyDescent="0.2">
      <c r="A188" s="8">
        <v>45196</v>
      </c>
      <c r="B188" s="11">
        <v>24.465</v>
      </c>
    </row>
    <row r="189" spans="1:2" x14ac:dyDescent="0.2">
      <c r="A189" s="9">
        <v>45198</v>
      </c>
      <c r="B189" s="12">
        <v>24.34</v>
      </c>
    </row>
    <row r="190" spans="1:2" x14ac:dyDescent="0.2">
      <c r="A190" s="8">
        <v>45201</v>
      </c>
      <c r="B190" s="11">
        <v>24.46</v>
      </c>
    </row>
    <row r="191" spans="1:2" x14ac:dyDescent="0.2">
      <c r="A191" s="9">
        <v>45202</v>
      </c>
      <c r="B191" s="12">
        <v>24.495000000000001</v>
      </c>
    </row>
    <row r="192" spans="1:2" x14ac:dyDescent="0.2">
      <c r="A192" s="8">
        <v>45203</v>
      </c>
      <c r="B192" s="11">
        <v>24.43</v>
      </c>
    </row>
    <row r="193" spans="1:2" x14ac:dyDescent="0.2">
      <c r="A193" s="9">
        <v>45204</v>
      </c>
      <c r="B193" s="12">
        <v>24.42</v>
      </c>
    </row>
    <row r="194" spans="1:2" x14ac:dyDescent="0.2">
      <c r="A194" s="8">
        <v>45205</v>
      </c>
      <c r="B194" s="11">
        <v>24.44</v>
      </c>
    </row>
    <row r="195" spans="1:2" x14ac:dyDescent="0.2">
      <c r="A195" s="9">
        <v>45208</v>
      </c>
      <c r="B195" s="12">
        <v>24.475000000000001</v>
      </c>
    </row>
    <row r="196" spans="1:2" x14ac:dyDescent="0.2">
      <c r="A196" s="8">
        <v>45209</v>
      </c>
      <c r="B196" s="11">
        <v>24.565000000000001</v>
      </c>
    </row>
    <row r="197" spans="1:2" x14ac:dyDescent="0.2">
      <c r="A197" s="9">
        <v>45210</v>
      </c>
      <c r="B197" s="12">
        <v>24.55</v>
      </c>
    </row>
    <row r="198" spans="1:2" x14ac:dyDescent="0.2">
      <c r="A198" s="8">
        <v>45211</v>
      </c>
      <c r="B198" s="11">
        <v>24.56</v>
      </c>
    </row>
    <row r="199" spans="1:2" x14ac:dyDescent="0.2">
      <c r="A199" s="9">
        <v>45212</v>
      </c>
      <c r="B199" s="12">
        <v>24.67</v>
      </c>
    </row>
    <row r="200" spans="1:2" x14ac:dyDescent="0.2">
      <c r="A200" s="8">
        <v>45215</v>
      </c>
      <c r="B200" s="11">
        <v>24.66</v>
      </c>
    </row>
    <row r="201" spans="1:2" x14ac:dyDescent="0.2">
      <c r="A201" s="9">
        <v>45216</v>
      </c>
      <c r="B201" s="12">
        <v>24.605</v>
      </c>
    </row>
    <row r="202" spans="1:2" x14ac:dyDescent="0.2">
      <c r="A202" s="8">
        <v>45218</v>
      </c>
      <c r="B202" s="11">
        <v>24.664999999999999</v>
      </c>
    </row>
    <row r="203" spans="1:2" x14ac:dyDescent="0.2">
      <c r="A203" s="9">
        <v>45219</v>
      </c>
      <c r="B203" s="12">
        <v>24.704999999999998</v>
      </c>
    </row>
    <row r="204" spans="1:2" x14ac:dyDescent="0.2">
      <c r="A204" s="8">
        <v>45222</v>
      </c>
      <c r="B204" s="11">
        <v>24.645</v>
      </c>
    </row>
    <row r="205" spans="1:2" x14ac:dyDescent="0.2">
      <c r="A205" s="9">
        <v>45223</v>
      </c>
      <c r="B205" s="12">
        <v>24.66</v>
      </c>
    </row>
    <row r="206" spans="1:2" x14ac:dyDescent="0.2">
      <c r="A206" s="8">
        <v>45224</v>
      </c>
      <c r="B206" s="11">
        <v>24.69</v>
      </c>
    </row>
    <row r="207" spans="1:2" x14ac:dyDescent="0.2">
      <c r="A207" s="9">
        <v>45225</v>
      </c>
      <c r="B207" s="12">
        <v>24.715</v>
      </c>
    </row>
    <row r="208" spans="1:2" x14ac:dyDescent="0.2">
      <c r="A208" s="8">
        <v>45226</v>
      </c>
      <c r="B208" s="11">
        <v>24.67</v>
      </c>
    </row>
    <row r="209" spans="1:2" x14ac:dyDescent="0.2">
      <c r="A209" s="9">
        <v>45229</v>
      </c>
      <c r="B209" s="12">
        <v>24.565000000000001</v>
      </c>
    </row>
    <row r="210" spans="1:2" x14ac:dyDescent="0.2">
      <c r="A210" s="8">
        <v>45230</v>
      </c>
      <c r="B210" s="11">
        <v>24.56</v>
      </c>
    </row>
    <row r="211" spans="1:2" x14ac:dyDescent="0.2">
      <c r="A211" s="9">
        <v>45231</v>
      </c>
      <c r="B211" s="12">
        <v>24.684999999999999</v>
      </c>
    </row>
    <row r="212" spans="1:2" x14ac:dyDescent="0.2">
      <c r="A212" s="8">
        <v>45232</v>
      </c>
      <c r="B212" s="11">
        <v>24.625</v>
      </c>
    </row>
    <row r="213" spans="1:2" x14ac:dyDescent="0.2">
      <c r="A213" s="9">
        <v>45233</v>
      </c>
      <c r="B213" s="12">
        <v>24.414999999999999</v>
      </c>
    </row>
    <row r="214" spans="1:2" x14ac:dyDescent="0.2">
      <c r="A214" s="8">
        <v>45236</v>
      </c>
      <c r="B214" s="11">
        <v>24.46</v>
      </c>
    </row>
    <row r="215" spans="1:2" x14ac:dyDescent="0.2">
      <c r="A215" s="9">
        <v>45237</v>
      </c>
      <c r="B215" s="12">
        <v>24.635000000000002</v>
      </c>
    </row>
    <row r="216" spans="1:2" x14ac:dyDescent="0.2">
      <c r="A216" s="8">
        <v>45238</v>
      </c>
      <c r="B216" s="11">
        <v>24.67</v>
      </c>
    </row>
    <row r="217" spans="1:2" x14ac:dyDescent="0.2">
      <c r="A217" s="9">
        <v>45239</v>
      </c>
      <c r="B217" s="12">
        <v>24.555</v>
      </c>
    </row>
    <row r="218" spans="1:2" x14ac:dyDescent="0.2">
      <c r="A218" s="8">
        <v>45240</v>
      </c>
      <c r="B218" s="11">
        <v>24.53</v>
      </c>
    </row>
    <row r="219" spans="1:2" x14ac:dyDescent="0.2">
      <c r="A219" s="9">
        <v>45243</v>
      </c>
      <c r="B219" s="12">
        <v>24.59</v>
      </c>
    </row>
    <row r="220" spans="1:2" x14ac:dyDescent="0.2">
      <c r="A220" s="8">
        <v>45244</v>
      </c>
      <c r="B220" s="11">
        <v>24.55</v>
      </c>
    </row>
    <row r="221" spans="1:2" x14ac:dyDescent="0.2">
      <c r="A221" s="9">
        <v>45245</v>
      </c>
      <c r="B221" s="12">
        <v>24.504999999999999</v>
      </c>
    </row>
    <row r="222" spans="1:2" x14ac:dyDescent="0.2">
      <c r="A222" s="8">
        <v>45246</v>
      </c>
      <c r="B222" s="11">
        <v>24.45</v>
      </c>
    </row>
    <row r="223" spans="1:2" x14ac:dyDescent="0.2">
      <c r="A223" s="9">
        <v>45250</v>
      </c>
      <c r="B223" s="12">
        <v>24.545000000000002</v>
      </c>
    </row>
    <row r="224" spans="1:2" x14ac:dyDescent="0.2">
      <c r="A224" s="8">
        <v>45251</v>
      </c>
      <c r="B224" s="11">
        <v>24.51</v>
      </c>
    </row>
    <row r="225" spans="1:2" x14ac:dyDescent="0.2">
      <c r="A225" s="9">
        <v>45252</v>
      </c>
      <c r="B225" s="12">
        <v>24.484999999999999</v>
      </c>
    </row>
    <row r="226" spans="1:2" x14ac:dyDescent="0.2">
      <c r="A226" s="8">
        <v>45253</v>
      </c>
      <c r="B226" s="11">
        <v>24.364999999999998</v>
      </c>
    </row>
    <row r="227" spans="1:2" x14ac:dyDescent="0.2">
      <c r="A227" s="9">
        <v>45254</v>
      </c>
      <c r="B227" s="12">
        <v>24.41</v>
      </c>
    </row>
    <row r="228" spans="1:2" x14ac:dyDescent="0.2">
      <c r="A228" s="8">
        <v>45257</v>
      </c>
      <c r="B228" s="11">
        <v>24.36</v>
      </c>
    </row>
    <row r="229" spans="1:2" x14ac:dyDescent="0.2">
      <c r="A229" s="9">
        <v>45258</v>
      </c>
      <c r="B229" s="12">
        <v>24.37</v>
      </c>
    </row>
    <row r="230" spans="1:2" x14ac:dyDescent="0.2">
      <c r="A230" s="8">
        <v>45259</v>
      </c>
      <c r="B230" s="11">
        <v>24.26</v>
      </c>
    </row>
    <row r="231" spans="1:2" x14ac:dyDescent="0.2">
      <c r="A231" s="9">
        <v>45260</v>
      </c>
      <c r="B231" s="12">
        <v>24.29</v>
      </c>
    </row>
    <row r="232" spans="1:2" x14ac:dyDescent="0.2">
      <c r="A232" s="8">
        <v>45261</v>
      </c>
      <c r="B232" s="11">
        <v>24.35</v>
      </c>
    </row>
    <row r="233" spans="1:2" x14ac:dyDescent="0.2">
      <c r="A233" s="9">
        <v>45264</v>
      </c>
      <c r="B233" s="12">
        <v>24.39</v>
      </c>
    </row>
    <row r="234" spans="1:2" x14ac:dyDescent="0.2">
      <c r="A234" s="8">
        <v>45265</v>
      </c>
      <c r="B234" s="11">
        <v>24.37</v>
      </c>
    </row>
    <row r="235" spans="1:2" x14ac:dyDescent="0.2">
      <c r="A235" s="9">
        <v>45266</v>
      </c>
      <c r="B235" s="12">
        <v>24.36</v>
      </c>
    </row>
    <row r="236" spans="1:2" x14ac:dyDescent="0.2">
      <c r="A236" s="8">
        <v>45267</v>
      </c>
      <c r="B236" s="11">
        <v>24.355</v>
      </c>
    </row>
    <row r="237" spans="1:2" x14ac:dyDescent="0.2">
      <c r="A237" s="9">
        <v>45268</v>
      </c>
      <c r="B237" s="12">
        <v>24.355</v>
      </c>
    </row>
    <row r="238" spans="1:2" x14ac:dyDescent="0.2">
      <c r="A238" s="8">
        <v>45271</v>
      </c>
      <c r="B238" s="11">
        <v>24.375</v>
      </c>
    </row>
    <row r="239" spans="1:2" x14ac:dyDescent="0.2">
      <c r="A239" s="9">
        <v>45272</v>
      </c>
      <c r="B239" s="12">
        <v>24.425000000000001</v>
      </c>
    </row>
    <row r="240" spans="1:2" x14ac:dyDescent="0.2">
      <c r="A240" s="8">
        <v>45273</v>
      </c>
      <c r="B240" s="11">
        <v>24.48</v>
      </c>
    </row>
    <row r="241" spans="1:2" x14ac:dyDescent="0.2">
      <c r="A241" s="9">
        <v>45274</v>
      </c>
      <c r="B241" s="12">
        <v>24.41</v>
      </c>
    </row>
    <row r="242" spans="1:2" x14ac:dyDescent="0.2">
      <c r="A242" s="8">
        <v>45275</v>
      </c>
      <c r="B242" s="11">
        <v>24.48</v>
      </c>
    </row>
    <row r="243" spans="1:2" x14ac:dyDescent="0.2">
      <c r="A243" s="9">
        <v>45278</v>
      </c>
      <c r="B243" s="12">
        <v>24.55</v>
      </c>
    </row>
    <row r="244" spans="1:2" x14ac:dyDescent="0.2">
      <c r="A244" s="8">
        <v>45279</v>
      </c>
      <c r="B244" s="11">
        <v>24.535</v>
      </c>
    </row>
    <row r="245" spans="1:2" x14ac:dyDescent="0.2">
      <c r="A245" s="9">
        <v>45280</v>
      </c>
      <c r="B245" s="12">
        <v>24.54</v>
      </c>
    </row>
    <row r="246" spans="1:2" x14ac:dyDescent="0.2">
      <c r="A246" s="8">
        <v>45281</v>
      </c>
      <c r="B246" s="11">
        <v>24.49</v>
      </c>
    </row>
    <row r="247" spans="1:2" x14ac:dyDescent="0.2">
      <c r="A247" s="9">
        <v>45282</v>
      </c>
      <c r="B247" s="12">
        <v>24.59</v>
      </c>
    </row>
    <row r="248" spans="1:2" x14ac:dyDescent="0.2">
      <c r="A248" s="8">
        <v>45287</v>
      </c>
      <c r="B248" s="11">
        <v>24.68</v>
      </c>
    </row>
    <row r="249" spans="1:2" x14ac:dyDescent="0.2">
      <c r="A249" s="9">
        <v>45288</v>
      </c>
      <c r="B249" s="12">
        <v>24.715</v>
      </c>
    </row>
    <row r="250" spans="1:2" x14ac:dyDescent="0.2">
      <c r="A250" s="10">
        <v>45289</v>
      </c>
      <c r="B250" s="13">
        <v>24.725000000000001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96D81-C3E9-F142-97B7-040C8FF31F8D}">
  <sheetPr codeName="Sheet10"/>
  <dimension ref="A1:C30"/>
  <sheetViews>
    <sheetView workbookViewId="0">
      <selection activeCell="B8" sqref="B8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16" t="s">
        <v>94</v>
      </c>
      <c r="B1" t="s">
        <v>95</v>
      </c>
      <c r="C1" t="s">
        <v>96</v>
      </c>
    </row>
    <row r="2" spans="1:3" x14ac:dyDescent="0.2">
      <c r="A2" s="16" t="s">
        <v>97</v>
      </c>
      <c r="B2" t="s">
        <v>98</v>
      </c>
      <c r="C2" t="s">
        <v>99</v>
      </c>
    </row>
    <row r="3" spans="1:3" x14ac:dyDescent="0.2">
      <c r="A3" s="16" t="s">
        <v>100</v>
      </c>
      <c r="B3" t="s">
        <v>101</v>
      </c>
      <c r="C3" t="s">
        <v>102</v>
      </c>
    </row>
    <row r="4" spans="1:3" x14ac:dyDescent="0.2">
      <c r="A4" s="16" t="s">
        <v>103</v>
      </c>
      <c r="B4" t="s">
        <v>104</v>
      </c>
      <c r="C4" t="s">
        <v>105</v>
      </c>
    </row>
    <row r="5" spans="1:3" x14ac:dyDescent="0.2">
      <c r="A5" s="16" t="s">
        <v>106</v>
      </c>
      <c r="B5" t="s">
        <v>107</v>
      </c>
      <c r="C5" t="s">
        <v>108</v>
      </c>
    </row>
    <row r="6" spans="1:3" x14ac:dyDescent="0.2">
      <c r="A6" s="16" t="s">
        <v>109</v>
      </c>
      <c r="B6" t="s">
        <v>110</v>
      </c>
      <c r="C6" t="s">
        <v>111</v>
      </c>
    </row>
    <row r="7" spans="1:3" x14ac:dyDescent="0.2">
      <c r="A7" s="16" t="s">
        <v>112</v>
      </c>
      <c r="B7" t="s">
        <v>113</v>
      </c>
      <c r="C7" t="s">
        <v>114</v>
      </c>
    </row>
    <row r="8" spans="1:3" x14ac:dyDescent="0.2">
      <c r="A8" s="16" t="s">
        <v>115</v>
      </c>
      <c r="B8" t="s">
        <v>116</v>
      </c>
      <c r="C8" t="s">
        <v>117</v>
      </c>
    </row>
    <row r="9" spans="1:3" x14ac:dyDescent="0.2">
      <c r="A9" s="16" t="s">
        <v>118</v>
      </c>
      <c r="B9" t="s">
        <v>119</v>
      </c>
      <c r="C9" t="s">
        <v>120</v>
      </c>
    </row>
    <row r="10" spans="1:3" x14ac:dyDescent="0.2">
      <c r="A10" s="16" t="s">
        <v>121</v>
      </c>
      <c r="B10" t="s">
        <v>122</v>
      </c>
      <c r="C10" t="s">
        <v>123</v>
      </c>
    </row>
    <row r="11" spans="1:3" x14ac:dyDescent="0.2">
      <c r="A11" s="16" t="s">
        <v>124</v>
      </c>
      <c r="B11" t="s">
        <v>125</v>
      </c>
      <c r="C11" t="s">
        <v>126</v>
      </c>
    </row>
    <row r="12" spans="1:3" x14ac:dyDescent="0.2">
      <c r="A12" s="16" t="s">
        <v>127</v>
      </c>
      <c r="B12" t="s">
        <v>128</v>
      </c>
      <c r="C12" t="s">
        <v>129</v>
      </c>
    </row>
    <row r="13" spans="1:3" x14ac:dyDescent="0.2">
      <c r="A13" s="16" t="s">
        <v>130</v>
      </c>
      <c r="B13" t="s">
        <v>131</v>
      </c>
      <c r="C13" t="s">
        <v>132</v>
      </c>
    </row>
    <row r="14" spans="1:3" x14ac:dyDescent="0.2">
      <c r="A14" s="16" t="s">
        <v>133</v>
      </c>
      <c r="B14" t="s">
        <v>134</v>
      </c>
      <c r="C14" t="s">
        <v>135</v>
      </c>
    </row>
    <row r="15" spans="1:3" x14ac:dyDescent="0.2">
      <c r="A15" s="16" t="s">
        <v>136</v>
      </c>
      <c r="B15" t="s">
        <v>137</v>
      </c>
      <c r="C15" t="s">
        <v>138</v>
      </c>
    </row>
    <row r="16" spans="1:3" x14ac:dyDescent="0.2">
      <c r="A16" s="16" t="s">
        <v>139</v>
      </c>
      <c r="B16" t="s">
        <v>140</v>
      </c>
      <c r="C16" t="s">
        <v>141</v>
      </c>
    </row>
    <row r="17" spans="1:3" x14ac:dyDescent="0.2">
      <c r="A17" s="16" t="s">
        <v>142</v>
      </c>
      <c r="B17" t="s">
        <v>143</v>
      </c>
      <c r="C17" t="s">
        <v>144</v>
      </c>
    </row>
    <row r="18" spans="1:3" x14ac:dyDescent="0.2">
      <c r="A18" s="16" t="s">
        <v>145</v>
      </c>
      <c r="B18" t="s">
        <v>146</v>
      </c>
      <c r="C18" t="s">
        <v>147</v>
      </c>
    </row>
    <row r="19" spans="1:3" x14ac:dyDescent="0.2">
      <c r="A19" s="16" t="s">
        <v>148</v>
      </c>
      <c r="B19" t="s">
        <v>149</v>
      </c>
      <c r="C19" t="s">
        <v>150</v>
      </c>
    </row>
    <row r="20" spans="1:3" x14ac:dyDescent="0.2">
      <c r="A20" s="16" t="s">
        <v>151</v>
      </c>
      <c r="B20" t="s">
        <v>152</v>
      </c>
      <c r="C20" t="s">
        <v>153</v>
      </c>
    </row>
    <row r="21" spans="1:3" x14ac:dyDescent="0.2">
      <c r="A21" s="16" t="s">
        <v>154</v>
      </c>
      <c r="B21" t="s">
        <v>155</v>
      </c>
      <c r="C21" t="s">
        <v>156</v>
      </c>
    </row>
    <row r="22" spans="1:3" x14ac:dyDescent="0.2">
      <c r="A22" s="16" t="s">
        <v>157</v>
      </c>
      <c r="B22" t="s">
        <v>158</v>
      </c>
      <c r="C22" t="s">
        <v>159</v>
      </c>
    </row>
    <row r="23" spans="1:3" x14ac:dyDescent="0.2">
      <c r="A23" s="16" t="s">
        <v>160</v>
      </c>
      <c r="B23" t="s">
        <v>161</v>
      </c>
      <c r="C23" t="s">
        <v>162</v>
      </c>
    </row>
    <row r="24" spans="1:3" x14ac:dyDescent="0.2">
      <c r="A24" s="16" t="s">
        <v>163</v>
      </c>
      <c r="B24" t="s">
        <v>164</v>
      </c>
      <c r="C24" t="s">
        <v>165</v>
      </c>
    </row>
    <row r="25" spans="1:3" x14ac:dyDescent="0.2">
      <c r="A25" s="16" t="s">
        <v>166</v>
      </c>
      <c r="B25" t="s">
        <v>167</v>
      </c>
      <c r="C25" t="s">
        <v>168</v>
      </c>
    </row>
    <row r="26" spans="1:3" x14ac:dyDescent="0.2">
      <c r="A26" s="16" t="s">
        <v>169</v>
      </c>
      <c r="B26" t="s">
        <v>170</v>
      </c>
      <c r="C26" t="s">
        <v>171</v>
      </c>
    </row>
    <row r="27" spans="1:3" x14ac:dyDescent="0.2">
      <c r="A27" s="16" t="s">
        <v>172</v>
      </c>
      <c r="B27" t="s">
        <v>173</v>
      </c>
      <c r="C27" t="s">
        <v>174</v>
      </c>
    </row>
    <row r="28" spans="1:3" x14ac:dyDescent="0.2">
      <c r="A28" s="16" t="s">
        <v>175</v>
      </c>
      <c r="B28" t="s">
        <v>176</v>
      </c>
      <c r="C28" t="s">
        <v>177</v>
      </c>
    </row>
    <row r="29" spans="1:3" x14ac:dyDescent="0.2">
      <c r="A29" s="16" t="s">
        <v>178</v>
      </c>
      <c r="B29" t="s">
        <v>179</v>
      </c>
      <c r="C29" t="s">
        <v>180</v>
      </c>
    </row>
    <row r="30" spans="1:3" x14ac:dyDescent="0.2">
      <c r="A30" s="16" t="s">
        <v>181</v>
      </c>
      <c r="B30" t="s">
        <v>182</v>
      </c>
      <c r="C30" t="s">
        <v>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ILE ENTRY NO. MAP</vt:lpstr>
      <vt:lpstr>OUTPUT</vt:lpstr>
      <vt:lpstr>ENTRY NO. MAP</vt:lpstr>
      <vt:lpstr>LINES</vt:lpstr>
      <vt:lpstr>BUDDY</vt:lpstr>
      <vt:lpstr>PROCESS</vt:lpstr>
      <vt:lpstr>T2C</vt:lpstr>
      <vt:lpstr>EXCHANGE LOOKUP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2024-08-01T15:39:18Z</dcterms:modified>
</cp:coreProperties>
</file>